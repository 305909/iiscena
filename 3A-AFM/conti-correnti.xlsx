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francescogiuseppegillio/Desktop/"/>
    </mc:Choice>
  </mc:AlternateContent>
  <xr:revisionPtr revIDLastSave="0" documentId="13_ncr:1_{7F345E7D-6CF6-D74A-8D2D-35A0EEDBA352}" xr6:coauthVersionLast="47" xr6:coauthVersionMax="47" xr10:uidLastSave="{00000000-0000-0000-0000-000000000000}"/>
  <bookViews>
    <workbookView xWindow="1400" yWindow="500" windowWidth="27400" windowHeight="17500" activeTab="1" xr2:uid="{00000000-000D-0000-FFFF-FFFF00000000}"/>
  </bookViews>
  <sheets>
    <sheet name="EXERCISES" sheetId="3" r:id="rId1"/>
    <sheet name="SOLU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/>
  <c r="B42" i="2" s="1"/>
  <c r="C42" i="2" s="1"/>
  <c r="E33" i="2"/>
  <c r="E32" i="2"/>
  <c r="E31" i="2"/>
  <c r="D33" i="2"/>
  <c r="D32" i="2"/>
  <c r="D31" i="2"/>
  <c r="B33" i="2"/>
  <c r="C33" i="2"/>
  <c r="B31" i="2"/>
  <c r="C31" i="2"/>
  <c r="B32" i="2"/>
  <c r="C32" i="2"/>
  <c r="A38" i="2"/>
  <c r="B38" i="2"/>
  <c r="C38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</calcChain>
</file>

<file path=xl/sharedStrings.xml><?xml version="1.0" encoding="utf-8"?>
<sst xmlns="http://schemas.openxmlformats.org/spreadsheetml/2006/main" count="293" uniqueCount="80">
  <si>
    <t>COGNOME</t>
  </si>
  <si>
    <t>NOME</t>
  </si>
  <si>
    <t>M/F</t>
  </si>
  <si>
    <t>TITOLO DI STUDIO</t>
  </si>
  <si>
    <t>AGENZIA</t>
  </si>
  <si>
    <t>SALDO C/C</t>
  </si>
  <si>
    <t>BARO</t>
  </si>
  <si>
    <t>ALESSIA</t>
  </si>
  <si>
    <t>F</t>
  </si>
  <si>
    <t>LAUREA IN GIURISPRUDENZA</t>
  </si>
  <si>
    <t>Banca Sella</t>
  </si>
  <si>
    <t>BAROUZ</t>
  </si>
  <si>
    <t>YOUSSEF</t>
  </si>
  <si>
    <t>M</t>
  </si>
  <si>
    <t>LAUREA IN INGEGNERIA</t>
  </si>
  <si>
    <t>UniCredit</t>
  </si>
  <si>
    <t>BUZZI</t>
  </si>
  <si>
    <t>SARA</t>
  </si>
  <si>
    <t>CAPIRONE</t>
  </si>
  <si>
    <t>ELISA</t>
  </si>
  <si>
    <t>CASCHILI</t>
  </si>
  <si>
    <t>MARTINA</t>
  </si>
  <si>
    <t>LAUREA IN SCIENZE MATEMATICHE E FISICA</t>
  </si>
  <si>
    <t>CONCAS</t>
  </si>
  <si>
    <t>CHIARA</t>
  </si>
  <si>
    <t>Intesa San Paolo</t>
  </si>
  <si>
    <t>CRINGOLO</t>
  </si>
  <si>
    <t>IRIS ARIANNA</t>
  </si>
  <si>
    <t>LAUREA IN ECONOMIA</t>
  </si>
  <si>
    <t>DALL'ARMELLINA</t>
  </si>
  <si>
    <t>ROBERTO</t>
  </si>
  <si>
    <t>DOBOS</t>
  </si>
  <si>
    <t>ALESSIA NICOLE</t>
  </si>
  <si>
    <t>LAUREA IN LINGUE E LETTERATURE STRANIERE</t>
  </si>
  <si>
    <t>EL HARAK</t>
  </si>
  <si>
    <t>YASSIR</t>
  </si>
  <si>
    <t>FRANCESIO</t>
  </si>
  <si>
    <t>GIULIA</t>
  </si>
  <si>
    <t>GALDOS CARRIEL</t>
  </si>
  <si>
    <t>ANAIS JULIETTE</t>
  </si>
  <si>
    <t>DIPLOMA DI SCUOLA SECONDARIA DI SECONDO GRADO</t>
  </si>
  <si>
    <t>GALLUCCI</t>
  </si>
  <si>
    <t>GRETA</t>
  </si>
  <si>
    <t>GIGLIO</t>
  </si>
  <si>
    <t>LORENZO</t>
  </si>
  <si>
    <t>LAUREA IN LEGGE</t>
  </si>
  <si>
    <t>LACCHIO</t>
  </si>
  <si>
    <t>WILLIAM OSVALDO</t>
  </si>
  <si>
    <t>LEO</t>
  </si>
  <si>
    <t>NICOLE</t>
  </si>
  <si>
    <t>LOFARO</t>
  </si>
  <si>
    <t>LARA</t>
  </si>
  <si>
    <t>MEDAINA</t>
  </si>
  <si>
    <t>CRISTINA</t>
  </si>
  <si>
    <t>MERLI</t>
  </si>
  <si>
    <t>SIMONE</t>
  </si>
  <si>
    <t>MSAOUB</t>
  </si>
  <si>
    <t>DOAA</t>
  </si>
  <si>
    <t>PERENCHIO</t>
  </si>
  <si>
    <t>MASSIMO</t>
  </si>
  <si>
    <t>PETROCCA</t>
  </si>
  <si>
    <t>ELISABETTA</t>
  </si>
  <si>
    <t>SONCIN</t>
  </si>
  <si>
    <t>TOMASI CONT</t>
  </si>
  <si>
    <t>GIOELE</t>
  </si>
  <si>
    <t>VASILE</t>
  </si>
  <si>
    <t>REBECCA CELESTINA</t>
  </si>
  <si>
    <t>DATI PER AGENZIA</t>
  </si>
  <si>
    <t>TOTALE SALDI DEI C/C</t>
  </si>
  <si>
    <t>SALDO MEDIO</t>
  </si>
  <si>
    <t>MEDIA DEI SALDI POSITIVI</t>
  </si>
  <si>
    <t>MEDIA DEI SALDI NEGATIVI</t>
  </si>
  <si>
    <t>NOMINATIVO</t>
  </si>
  <si>
    <t>LAUREATI CON SALDO NEGATIVO</t>
  </si>
  <si>
    <t>LAUREATI UOMINI CON SALDO NEGATIVO</t>
  </si>
  <si>
    <t>LAUREATI DONNE CON SALDO NEGATIVO</t>
  </si>
  <si>
    <t>BAROUZ YOUSSEF</t>
  </si>
  <si>
    <t>NOMINATIVO:</t>
  </si>
  <si>
    <t>SALDO:</t>
  </si>
  <si>
    <t>STATO: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</si>
</sst>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410]_-;\-* #,##0.00\ [$€-410]_-;_-* &quot;-&quot;??\ [$€-410]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164" fontId="0" fillId="3" borderId="1" xfId="0" applyNumberFormat="1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164" fontId="0" fillId="4" borderId="1" xfId="0" applyNumberFormat="1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164" fontId="0" fillId="5" borderId="1" xfId="0" applyNumberFormat="1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164" fontId="1" fillId="2" borderId="1" xfId="0" applyNumberFormat="1" applyFont="1" applyFill="1" applyBorder="1" applyAlignment="1">
      <alignment horizontal="left"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827F5-5CAB-1847-AFEA-BF6734F42A57}">
  <dimension ref="A1:G42"/>
  <sheetViews>
    <sheetView zoomScale="75" workbookViewId="0">
      <selection sqref="A1:XFD1048576"/>
    </sheetView>
  </sheetViews>
  <sheetFormatPr baseColWidth="10" defaultColWidth="35.83203125" defaultRowHeight="20" customHeight="1" x14ac:dyDescent="0.2"/>
  <cols>
    <col min="1" max="16384" width="35.83203125" style="1"/>
  </cols>
  <sheetData>
    <row r="1" spans="1:7" ht="20" customHeight="1" x14ac:dyDescent="0.2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6" t="s">
        <v>5</v>
      </c>
      <c r="G1" s="4" t="s">
        <v>72</v>
      </c>
    </row>
    <row r="2" spans="1:7" ht="20" customHeight="1" x14ac:dyDescent="0.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3">
        <v>-3183.97</v>
      </c>
      <c r="G2" s="14"/>
    </row>
    <row r="3" spans="1:7" ht="20" customHeight="1" x14ac:dyDescent="0.2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3">
        <v>5717.61</v>
      </c>
      <c r="G3" s="14"/>
    </row>
    <row r="4" spans="1:7" ht="20" customHeight="1" x14ac:dyDescent="0.2">
      <c r="A4" s="1" t="s">
        <v>16</v>
      </c>
      <c r="B4" s="1" t="s">
        <v>17</v>
      </c>
      <c r="C4" s="1" t="s">
        <v>8</v>
      </c>
      <c r="D4" s="1" t="s">
        <v>14</v>
      </c>
      <c r="E4" s="1" t="s">
        <v>10</v>
      </c>
      <c r="F4" s="3">
        <v>-2140.15</v>
      </c>
      <c r="G4" s="14"/>
    </row>
    <row r="5" spans="1:7" ht="20" customHeight="1" x14ac:dyDescent="0.2">
      <c r="A5" s="1" t="s">
        <v>18</v>
      </c>
      <c r="B5" s="1" t="s">
        <v>19</v>
      </c>
      <c r="C5" s="1" t="s">
        <v>8</v>
      </c>
      <c r="D5" s="1" t="s">
        <v>9</v>
      </c>
      <c r="E5" s="1" t="s">
        <v>10</v>
      </c>
      <c r="F5" s="3">
        <v>7728.97</v>
      </c>
      <c r="G5" s="14"/>
    </row>
    <row r="6" spans="1:7" ht="20" customHeight="1" x14ac:dyDescent="0.2">
      <c r="A6" s="1" t="s">
        <v>20</v>
      </c>
      <c r="B6" s="1" t="s">
        <v>21</v>
      </c>
      <c r="C6" s="1" t="s">
        <v>8</v>
      </c>
      <c r="D6" s="1" t="s">
        <v>22</v>
      </c>
      <c r="E6" s="1" t="s">
        <v>10</v>
      </c>
      <c r="F6" s="3">
        <v>-3042.83</v>
      </c>
      <c r="G6" s="14"/>
    </row>
    <row r="7" spans="1:7" ht="20" customHeight="1" x14ac:dyDescent="0.2">
      <c r="A7" s="1" t="s">
        <v>23</v>
      </c>
      <c r="B7" s="1" t="s">
        <v>24</v>
      </c>
      <c r="C7" s="1" t="s">
        <v>8</v>
      </c>
      <c r="D7" s="1" t="s">
        <v>9</v>
      </c>
      <c r="E7" s="1" t="s">
        <v>25</v>
      </c>
      <c r="F7" s="3">
        <v>-360.68</v>
      </c>
      <c r="G7" s="14"/>
    </row>
    <row r="8" spans="1:7" ht="20" customHeight="1" x14ac:dyDescent="0.2">
      <c r="A8" s="1" t="s">
        <v>26</v>
      </c>
      <c r="B8" s="1" t="s">
        <v>27</v>
      </c>
      <c r="C8" s="1" t="s">
        <v>8</v>
      </c>
      <c r="D8" s="1" t="s">
        <v>28</v>
      </c>
      <c r="E8" s="1" t="s">
        <v>15</v>
      </c>
      <c r="F8" s="3">
        <v>6344.91</v>
      </c>
      <c r="G8" s="14"/>
    </row>
    <row r="9" spans="1:7" ht="20" customHeight="1" x14ac:dyDescent="0.2">
      <c r="A9" s="1" t="s">
        <v>29</v>
      </c>
      <c r="B9" s="1" t="s">
        <v>30</v>
      </c>
      <c r="C9" s="1" t="s">
        <v>13</v>
      </c>
      <c r="D9" s="1" t="s">
        <v>9</v>
      </c>
      <c r="E9" s="1" t="s">
        <v>10</v>
      </c>
      <c r="F9" s="3">
        <v>-224.26</v>
      </c>
      <c r="G9" s="14"/>
    </row>
    <row r="10" spans="1:7" ht="20" customHeight="1" x14ac:dyDescent="0.2">
      <c r="A10" s="1" t="s">
        <v>31</v>
      </c>
      <c r="B10" s="1" t="s">
        <v>32</v>
      </c>
      <c r="C10" s="1" t="s">
        <v>8</v>
      </c>
      <c r="D10" s="1" t="s">
        <v>33</v>
      </c>
      <c r="E10" s="1" t="s">
        <v>15</v>
      </c>
      <c r="F10" s="3">
        <v>9663.15</v>
      </c>
      <c r="G10" s="14"/>
    </row>
    <row r="11" spans="1:7" ht="20" customHeight="1" x14ac:dyDescent="0.2">
      <c r="A11" s="1" t="s">
        <v>34</v>
      </c>
      <c r="B11" s="1" t="s">
        <v>35</v>
      </c>
      <c r="C11" s="1" t="s">
        <v>13</v>
      </c>
      <c r="D11" s="1" t="s">
        <v>14</v>
      </c>
      <c r="E11" s="1" t="s">
        <v>25</v>
      </c>
      <c r="F11" s="3">
        <v>2196.19</v>
      </c>
      <c r="G11" s="14"/>
    </row>
    <row r="12" spans="1:7" ht="20" customHeight="1" x14ac:dyDescent="0.2">
      <c r="A12" s="1" t="s">
        <v>36</v>
      </c>
      <c r="B12" s="1" t="s">
        <v>37</v>
      </c>
      <c r="C12" s="1" t="s">
        <v>8</v>
      </c>
      <c r="D12" s="1" t="s">
        <v>28</v>
      </c>
      <c r="E12" s="1" t="s">
        <v>25</v>
      </c>
      <c r="F12" s="3">
        <v>-4094.28</v>
      </c>
      <c r="G12" s="14"/>
    </row>
    <row r="13" spans="1:7" ht="20" customHeight="1" x14ac:dyDescent="0.2">
      <c r="A13" s="1" t="s">
        <v>38</v>
      </c>
      <c r="B13" s="1" t="s">
        <v>39</v>
      </c>
      <c r="C13" s="1" t="s">
        <v>8</v>
      </c>
      <c r="D13" s="1" t="s">
        <v>40</v>
      </c>
      <c r="E13" s="1" t="s">
        <v>10</v>
      </c>
      <c r="F13" s="3">
        <v>7786.81</v>
      </c>
      <c r="G13" s="14"/>
    </row>
    <row r="14" spans="1:7" ht="20" customHeight="1" x14ac:dyDescent="0.2">
      <c r="A14" s="1" t="s">
        <v>41</v>
      </c>
      <c r="B14" s="1" t="s">
        <v>42</v>
      </c>
      <c r="C14" s="1" t="s">
        <v>8</v>
      </c>
      <c r="D14" s="1" t="s">
        <v>28</v>
      </c>
      <c r="E14" s="1" t="s">
        <v>25</v>
      </c>
      <c r="F14" s="3">
        <v>-1824.09</v>
      </c>
      <c r="G14" s="14"/>
    </row>
    <row r="15" spans="1:7" ht="20" customHeight="1" x14ac:dyDescent="0.2">
      <c r="A15" s="1" t="s">
        <v>43</v>
      </c>
      <c r="B15" s="1" t="s">
        <v>44</v>
      </c>
      <c r="C15" s="1" t="s">
        <v>13</v>
      </c>
      <c r="D15" s="1" t="s">
        <v>45</v>
      </c>
      <c r="E15" s="1" t="s">
        <v>25</v>
      </c>
      <c r="F15" s="3">
        <v>-3913.64</v>
      </c>
      <c r="G15" s="14"/>
    </row>
    <row r="16" spans="1:7" ht="20" customHeight="1" x14ac:dyDescent="0.2">
      <c r="A16" s="1" t="s">
        <v>46</v>
      </c>
      <c r="B16" s="1" t="s">
        <v>47</v>
      </c>
      <c r="C16" s="1" t="s">
        <v>13</v>
      </c>
      <c r="D16" s="1" t="s">
        <v>45</v>
      </c>
      <c r="E16" s="1" t="s">
        <v>25</v>
      </c>
      <c r="F16" s="3">
        <v>7923.58</v>
      </c>
      <c r="G16" s="14"/>
    </row>
    <row r="17" spans="1:7" ht="20" customHeight="1" x14ac:dyDescent="0.2">
      <c r="A17" s="1" t="s">
        <v>48</v>
      </c>
      <c r="B17" s="1" t="s">
        <v>49</v>
      </c>
      <c r="C17" s="1" t="s">
        <v>8</v>
      </c>
      <c r="D17" s="1" t="s">
        <v>40</v>
      </c>
      <c r="E17" s="1" t="s">
        <v>15</v>
      </c>
      <c r="F17" s="3">
        <v>8983.2999999999993</v>
      </c>
      <c r="G17" s="14"/>
    </row>
    <row r="18" spans="1:7" ht="20" customHeight="1" x14ac:dyDescent="0.2">
      <c r="A18" s="1" t="s">
        <v>50</v>
      </c>
      <c r="B18" s="1" t="s">
        <v>51</v>
      </c>
      <c r="C18" s="1" t="s">
        <v>8</v>
      </c>
      <c r="D18" s="1" t="s">
        <v>33</v>
      </c>
      <c r="E18" s="1" t="s">
        <v>15</v>
      </c>
      <c r="F18" s="3">
        <v>2891.07</v>
      </c>
      <c r="G18" s="14"/>
    </row>
    <row r="19" spans="1:7" ht="20" customHeight="1" x14ac:dyDescent="0.2">
      <c r="A19" s="1" t="s">
        <v>52</v>
      </c>
      <c r="B19" s="1" t="s">
        <v>53</v>
      </c>
      <c r="C19" s="1" t="s">
        <v>8</v>
      </c>
      <c r="D19" s="1" t="s">
        <v>40</v>
      </c>
      <c r="E19" s="1" t="s">
        <v>15</v>
      </c>
      <c r="F19" s="3">
        <v>8321.33</v>
      </c>
      <c r="G19" s="14"/>
    </row>
    <row r="20" spans="1:7" ht="20" customHeight="1" x14ac:dyDescent="0.2">
      <c r="A20" s="1" t="s">
        <v>54</v>
      </c>
      <c r="B20" s="1" t="s">
        <v>55</v>
      </c>
      <c r="C20" s="1" t="s">
        <v>13</v>
      </c>
      <c r="D20" s="1" t="s">
        <v>28</v>
      </c>
      <c r="E20" s="1" t="s">
        <v>10</v>
      </c>
      <c r="F20" s="3">
        <v>1150.28</v>
      </c>
      <c r="G20" s="14"/>
    </row>
    <row r="21" spans="1:7" ht="20" customHeight="1" x14ac:dyDescent="0.2">
      <c r="A21" s="1" t="s">
        <v>56</v>
      </c>
      <c r="B21" s="1" t="s">
        <v>57</v>
      </c>
      <c r="C21" s="1" t="s">
        <v>8</v>
      </c>
      <c r="D21" s="1" t="s">
        <v>22</v>
      </c>
      <c r="E21" s="1" t="s">
        <v>15</v>
      </c>
      <c r="F21" s="3">
        <v>2789.13</v>
      </c>
      <c r="G21" s="14"/>
    </row>
    <row r="22" spans="1:7" ht="20" customHeight="1" x14ac:dyDescent="0.2">
      <c r="A22" s="1" t="s">
        <v>58</v>
      </c>
      <c r="B22" s="1" t="s">
        <v>59</v>
      </c>
      <c r="C22" s="1" t="s">
        <v>13</v>
      </c>
      <c r="D22" s="1" t="s">
        <v>28</v>
      </c>
      <c r="E22" s="1" t="s">
        <v>15</v>
      </c>
      <c r="F22" s="3">
        <v>6488.41</v>
      </c>
      <c r="G22" s="14"/>
    </row>
    <row r="23" spans="1:7" ht="20" customHeight="1" x14ac:dyDescent="0.2">
      <c r="A23" s="1" t="s">
        <v>60</v>
      </c>
      <c r="B23" s="1" t="s">
        <v>61</v>
      </c>
      <c r="C23" s="1" t="s">
        <v>8</v>
      </c>
      <c r="D23" s="1" t="s">
        <v>28</v>
      </c>
      <c r="E23" s="1" t="s">
        <v>25</v>
      </c>
      <c r="F23" s="3">
        <v>9855.15</v>
      </c>
      <c r="G23" s="14"/>
    </row>
    <row r="24" spans="1:7" ht="20" customHeight="1" x14ac:dyDescent="0.2">
      <c r="A24" s="1" t="s">
        <v>62</v>
      </c>
      <c r="B24" s="1" t="s">
        <v>21</v>
      </c>
      <c r="C24" s="1" t="s">
        <v>8</v>
      </c>
      <c r="D24" s="1" t="s">
        <v>9</v>
      </c>
      <c r="E24" s="1" t="s">
        <v>10</v>
      </c>
      <c r="F24" s="3">
        <v>9816.4500000000007</v>
      </c>
      <c r="G24" s="14"/>
    </row>
    <row r="25" spans="1:7" ht="20" customHeight="1" x14ac:dyDescent="0.2">
      <c r="A25" s="1" t="s">
        <v>63</v>
      </c>
      <c r="B25" s="1" t="s">
        <v>64</v>
      </c>
      <c r="C25" s="1" t="s">
        <v>13</v>
      </c>
      <c r="D25" s="1" t="s">
        <v>22</v>
      </c>
      <c r="E25" s="1" t="s">
        <v>10</v>
      </c>
      <c r="F25" s="3">
        <v>8342.9699999999993</v>
      </c>
      <c r="G25" s="14"/>
    </row>
    <row r="26" spans="1:7" ht="20" customHeight="1" x14ac:dyDescent="0.2">
      <c r="A26" s="1" t="s">
        <v>65</v>
      </c>
      <c r="B26" s="1" t="s">
        <v>66</v>
      </c>
      <c r="C26" s="1" t="s">
        <v>8</v>
      </c>
      <c r="D26" s="1" t="s">
        <v>45</v>
      </c>
      <c r="E26" s="1" t="s">
        <v>15</v>
      </c>
      <c r="F26" s="3">
        <v>-3626.71</v>
      </c>
      <c r="G26" s="14"/>
    </row>
    <row r="30" spans="1:7" ht="20" customHeight="1" x14ac:dyDescent="0.2">
      <c r="A30" s="4" t="s">
        <v>67</v>
      </c>
      <c r="B30" s="4" t="s">
        <v>68</v>
      </c>
      <c r="C30" s="4" t="s">
        <v>69</v>
      </c>
      <c r="D30" s="4" t="s">
        <v>70</v>
      </c>
      <c r="E30" s="4" t="s">
        <v>71</v>
      </c>
    </row>
    <row r="31" spans="1:7" ht="20" customHeight="1" x14ac:dyDescent="0.2">
      <c r="A31" s="11" t="s">
        <v>10</v>
      </c>
      <c r="B31" s="12"/>
      <c r="C31" s="12"/>
      <c r="D31" s="12"/>
      <c r="E31" s="12"/>
    </row>
    <row r="32" spans="1:7" ht="20" customHeight="1" x14ac:dyDescent="0.2">
      <c r="A32" s="9" t="s">
        <v>25</v>
      </c>
      <c r="B32" s="10"/>
      <c r="C32" s="10"/>
      <c r="D32" s="10"/>
      <c r="E32" s="10"/>
    </row>
    <row r="33" spans="1:5" ht="20" customHeight="1" x14ac:dyDescent="0.2">
      <c r="A33" s="7" t="s">
        <v>15</v>
      </c>
      <c r="B33" s="8"/>
      <c r="C33" s="8"/>
      <c r="D33" s="8"/>
      <c r="E33" s="8"/>
    </row>
    <row r="37" spans="1:5" ht="20" customHeight="1" x14ac:dyDescent="0.2">
      <c r="A37" s="4" t="s">
        <v>73</v>
      </c>
      <c r="B37" s="4" t="s">
        <v>74</v>
      </c>
      <c r="C37" s="4" t="s">
        <v>75</v>
      </c>
    </row>
    <row r="38" spans="1:5" ht="20" customHeight="1" x14ac:dyDescent="0.2">
      <c r="A38" s="13"/>
      <c r="B38" s="13"/>
      <c r="C38" s="13"/>
    </row>
    <row r="41" spans="1:5" ht="20" customHeight="1" x14ac:dyDescent="0.2">
      <c r="A41" s="4" t="s">
        <v>77</v>
      </c>
      <c r="B41" s="4" t="s">
        <v>78</v>
      </c>
      <c r="C41" s="4" t="s">
        <v>79</v>
      </c>
    </row>
    <row r="42" spans="1:5" ht="20" customHeight="1" x14ac:dyDescent="0.2">
      <c r="A42" s="5"/>
      <c r="B42" s="6"/>
      <c r="C42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1B433-CDAE-8047-B133-52816D53DEC7}">
  <dimension ref="A1:G42"/>
  <sheetViews>
    <sheetView tabSelected="1" zoomScale="70" zoomScaleNormal="153" workbookViewId="0">
      <selection sqref="A1:XFD1048576"/>
    </sheetView>
  </sheetViews>
  <sheetFormatPr baseColWidth="10" defaultColWidth="35.83203125" defaultRowHeight="20" customHeight="1" x14ac:dyDescent="0.2"/>
  <cols>
    <col min="1" max="5" width="35.83203125" style="1"/>
    <col min="6" max="6" width="35.83203125" style="3"/>
    <col min="7" max="16384" width="35.83203125" style="1"/>
  </cols>
  <sheetData>
    <row r="1" spans="1:7" ht="20" customHeight="1" x14ac:dyDescent="0.2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6" t="s">
        <v>5</v>
      </c>
      <c r="G1" s="4" t="s">
        <v>72</v>
      </c>
    </row>
    <row r="2" spans="1:7" ht="20" customHeight="1" x14ac:dyDescent="0.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3">
        <v>-3183.97</v>
      </c>
      <c r="G2" s="14" t="str">
        <f>_xlfn.CONCAT(A2," ",B2)</f>
        <v>BARO ALESSIA</v>
      </c>
    </row>
    <row r="3" spans="1:7" ht="20" customHeight="1" x14ac:dyDescent="0.2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3">
        <v>5717.61</v>
      </c>
      <c r="G3" s="14" t="str">
        <f>_xlfn.CONCAT(A3," ",B3)</f>
        <v>BAROUZ YOUSSEF</v>
      </c>
    </row>
    <row r="4" spans="1:7" ht="20" customHeight="1" x14ac:dyDescent="0.2">
      <c r="A4" s="1" t="s">
        <v>16</v>
      </c>
      <c r="B4" s="1" t="s">
        <v>17</v>
      </c>
      <c r="C4" s="1" t="s">
        <v>8</v>
      </c>
      <c r="D4" s="1" t="s">
        <v>14</v>
      </c>
      <c r="E4" s="1" t="s">
        <v>10</v>
      </c>
      <c r="F4" s="3">
        <v>-2140.15</v>
      </c>
      <c r="G4" s="14" t="str">
        <f t="shared" ref="G4:G26" si="0">_xlfn.CONCAT(A4," ",B4)</f>
        <v>BUZZI SARA</v>
      </c>
    </row>
    <row r="5" spans="1:7" ht="20" customHeight="1" x14ac:dyDescent="0.2">
      <c r="A5" s="1" t="s">
        <v>18</v>
      </c>
      <c r="B5" s="1" t="s">
        <v>19</v>
      </c>
      <c r="C5" s="1" t="s">
        <v>8</v>
      </c>
      <c r="D5" s="1" t="s">
        <v>9</v>
      </c>
      <c r="E5" s="1" t="s">
        <v>10</v>
      </c>
      <c r="F5" s="3">
        <v>7728.97</v>
      </c>
      <c r="G5" s="14" t="str">
        <f t="shared" si="0"/>
        <v>CAPIRONE ELISA</v>
      </c>
    </row>
    <row r="6" spans="1:7" ht="20" customHeight="1" x14ac:dyDescent="0.2">
      <c r="A6" s="1" t="s">
        <v>20</v>
      </c>
      <c r="B6" s="1" t="s">
        <v>21</v>
      </c>
      <c r="C6" s="1" t="s">
        <v>8</v>
      </c>
      <c r="D6" s="1" t="s">
        <v>22</v>
      </c>
      <c r="E6" s="1" t="s">
        <v>10</v>
      </c>
      <c r="F6" s="3">
        <v>-3042.83</v>
      </c>
      <c r="G6" s="14" t="str">
        <f t="shared" si="0"/>
        <v>CASCHILI MARTINA</v>
      </c>
    </row>
    <row r="7" spans="1:7" ht="20" customHeight="1" x14ac:dyDescent="0.2">
      <c r="A7" s="1" t="s">
        <v>23</v>
      </c>
      <c r="B7" s="1" t="s">
        <v>24</v>
      </c>
      <c r="C7" s="1" t="s">
        <v>8</v>
      </c>
      <c r="D7" s="1" t="s">
        <v>9</v>
      </c>
      <c r="E7" s="1" t="s">
        <v>25</v>
      </c>
      <c r="F7" s="3">
        <v>-360.68</v>
      </c>
      <c r="G7" s="14" t="str">
        <f t="shared" si="0"/>
        <v>CONCAS CHIARA</v>
      </c>
    </row>
    <row r="8" spans="1:7" ht="20" customHeight="1" x14ac:dyDescent="0.2">
      <c r="A8" s="1" t="s">
        <v>26</v>
      </c>
      <c r="B8" s="1" t="s">
        <v>27</v>
      </c>
      <c r="C8" s="1" t="s">
        <v>8</v>
      </c>
      <c r="D8" s="1" t="s">
        <v>28</v>
      </c>
      <c r="E8" s="1" t="s">
        <v>15</v>
      </c>
      <c r="F8" s="3">
        <v>6344.91</v>
      </c>
      <c r="G8" s="14" t="str">
        <f t="shared" si="0"/>
        <v>CRINGOLO IRIS ARIANNA</v>
      </c>
    </row>
    <row r="9" spans="1:7" ht="20" customHeight="1" x14ac:dyDescent="0.2">
      <c r="A9" s="1" t="s">
        <v>29</v>
      </c>
      <c r="B9" s="1" t="s">
        <v>30</v>
      </c>
      <c r="C9" s="1" t="s">
        <v>13</v>
      </c>
      <c r="D9" s="1" t="s">
        <v>9</v>
      </c>
      <c r="E9" s="1" t="s">
        <v>10</v>
      </c>
      <c r="F9" s="3">
        <v>-224.26</v>
      </c>
      <c r="G9" s="14" t="str">
        <f t="shared" si="0"/>
        <v>DALL'ARMELLINA ROBERTO</v>
      </c>
    </row>
    <row r="10" spans="1:7" ht="20" customHeight="1" x14ac:dyDescent="0.2">
      <c r="A10" s="1" t="s">
        <v>31</v>
      </c>
      <c r="B10" s="1" t="s">
        <v>32</v>
      </c>
      <c r="C10" s="1" t="s">
        <v>8</v>
      </c>
      <c r="D10" s="1" t="s">
        <v>33</v>
      </c>
      <c r="E10" s="1" t="s">
        <v>15</v>
      </c>
      <c r="F10" s="3">
        <v>9663.15</v>
      </c>
      <c r="G10" s="14" t="str">
        <f t="shared" si="0"/>
        <v>DOBOS ALESSIA NICOLE</v>
      </c>
    </row>
    <row r="11" spans="1:7" ht="20" customHeight="1" x14ac:dyDescent="0.2">
      <c r="A11" s="1" t="s">
        <v>34</v>
      </c>
      <c r="B11" s="1" t="s">
        <v>35</v>
      </c>
      <c r="C11" s="1" t="s">
        <v>13</v>
      </c>
      <c r="D11" s="1" t="s">
        <v>14</v>
      </c>
      <c r="E11" s="1" t="s">
        <v>25</v>
      </c>
      <c r="F11" s="3">
        <v>2196.19</v>
      </c>
      <c r="G11" s="14" t="str">
        <f t="shared" si="0"/>
        <v>EL HARAK YASSIR</v>
      </c>
    </row>
    <row r="12" spans="1:7" ht="20" customHeight="1" x14ac:dyDescent="0.2">
      <c r="A12" s="1" t="s">
        <v>36</v>
      </c>
      <c r="B12" s="1" t="s">
        <v>37</v>
      </c>
      <c r="C12" s="1" t="s">
        <v>8</v>
      </c>
      <c r="D12" s="1" t="s">
        <v>28</v>
      </c>
      <c r="E12" s="1" t="s">
        <v>25</v>
      </c>
      <c r="F12" s="3">
        <v>-4094.28</v>
      </c>
      <c r="G12" s="14" t="str">
        <f t="shared" si="0"/>
        <v>FRANCESIO GIULIA</v>
      </c>
    </row>
    <row r="13" spans="1:7" ht="20" customHeight="1" x14ac:dyDescent="0.2">
      <c r="A13" s="1" t="s">
        <v>38</v>
      </c>
      <c r="B13" s="1" t="s">
        <v>39</v>
      </c>
      <c r="C13" s="1" t="s">
        <v>8</v>
      </c>
      <c r="D13" s="1" t="s">
        <v>40</v>
      </c>
      <c r="E13" s="1" t="s">
        <v>10</v>
      </c>
      <c r="F13" s="3">
        <v>7786.81</v>
      </c>
      <c r="G13" s="14" t="str">
        <f t="shared" si="0"/>
        <v>GALDOS CARRIEL ANAIS JULIETTE</v>
      </c>
    </row>
    <row r="14" spans="1:7" ht="20" customHeight="1" x14ac:dyDescent="0.2">
      <c r="A14" s="1" t="s">
        <v>41</v>
      </c>
      <c r="B14" s="1" t="s">
        <v>42</v>
      </c>
      <c r="C14" s="1" t="s">
        <v>8</v>
      </c>
      <c r="D14" s="1" t="s">
        <v>28</v>
      </c>
      <c r="E14" s="1" t="s">
        <v>25</v>
      </c>
      <c r="F14" s="3">
        <v>-1824.09</v>
      </c>
      <c r="G14" s="14" t="str">
        <f t="shared" si="0"/>
        <v>GALLUCCI GRETA</v>
      </c>
    </row>
    <row r="15" spans="1:7" ht="20" customHeight="1" x14ac:dyDescent="0.2">
      <c r="A15" s="1" t="s">
        <v>43</v>
      </c>
      <c r="B15" s="1" t="s">
        <v>44</v>
      </c>
      <c r="C15" s="1" t="s">
        <v>13</v>
      </c>
      <c r="D15" s="1" t="s">
        <v>45</v>
      </c>
      <c r="E15" s="1" t="s">
        <v>25</v>
      </c>
      <c r="F15" s="3">
        <v>-3913.64</v>
      </c>
      <c r="G15" s="14" t="str">
        <f t="shared" si="0"/>
        <v>GIGLIO LORENZO</v>
      </c>
    </row>
    <row r="16" spans="1:7" ht="20" customHeight="1" x14ac:dyDescent="0.2">
      <c r="A16" s="1" t="s">
        <v>46</v>
      </c>
      <c r="B16" s="1" t="s">
        <v>47</v>
      </c>
      <c r="C16" s="1" t="s">
        <v>13</v>
      </c>
      <c r="D16" s="1" t="s">
        <v>45</v>
      </c>
      <c r="E16" s="1" t="s">
        <v>25</v>
      </c>
      <c r="F16" s="3">
        <v>7923.58</v>
      </c>
      <c r="G16" s="14" t="str">
        <f t="shared" si="0"/>
        <v>LACCHIO WILLIAM OSVALDO</v>
      </c>
    </row>
    <row r="17" spans="1:7" ht="20" customHeight="1" x14ac:dyDescent="0.2">
      <c r="A17" s="1" t="s">
        <v>48</v>
      </c>
      <c r="B17" s="1" t="s">
        <v>49</v>
      </c>
      <c r="C17" s="1" t="s">
        <v>8</v>
      </c>
      <c r="D17" s="1" t="s">
        <v>40</v>
      </c>
      <c r="E17" s="1" t="s">
        <v>15</v>
      </c>
      <c r="F17" s="3">
        <v>8983.2999999999993</v>
      </c>
      <c r="G17" s="14" t="str">
        <f t="shared" si="0"/>
        <v>LEO NICOLE</v>
      </c>
    </row>
    <row r="18" spans="1:7" ht="20" customHeight="1" x14ac:dyDescent="0.2">
      <c r="A18" s="1" t="s">
        <v>50</v>
      </c>
      <c r="B18" s="1" t="s">
        <v>51</v>
      </c>
      <c r="C18" s="1" t="s">
        <v>8</v>
      </c>
      <c r="D18" s="1" t="s">
        <v>33</v>
      </c>
      <c r="E18" s="1" t="s">
        <v>15</v>
      </c>
      <c r="F18" s="3">
        <v>2891.07</v>
      </c>
      <c r="G18" s="14" t="str">
        <f t="shared" si="0"/>
        <v>LOFARO LARA</v>
      </c>
    </row>
    <row r="19" spans="1:7" ht="20" customHeight="1" x14ac:dyDescent="0.2">
      <c r="A19" s="1" t="s">
        <v>52</v>
      </c>
      <c r="B19" s="1" t="s">
        <v>53</v>
      </c>
      <c r="C19" s="1" t="s">
        <v>8</v>
      </c>
      <c r="D19" s="1" t="s">
        <v>40</v>
      </c>
      <c r="E19" s="1" t="s">
        <v>15</v>
      </c>
      <c r="F19" s="3">
        <v>8321.33</v>
      </c>
      <c r="G19" s="14" t="str">
        <f t="shared" si="0"/>
        <v>MEDAINA CRISTINA</v>
      </c>
    </row>
    <row r="20" spans="1:7" ht="20" customHeight="1" x14ac:dyDescent="0.2">
      <c r="A20" s="1" t="s">
        <v>54</v>
      </c>
      <c r="B20" s="1" t="s">
        <v>55</v>
      </c>
      <c r="C20" s="1" t="s">
        <v>13</v>
      </c>
      <c r="D20" s="1" t="s">
        <v>28</v>
      </c>
      <c r="E20" s="1" t="s">
        <v>10</v>
      </c>
      <c r="F20" s="3">
        <v>1150.28</v>
      </c>
      <c r="G20" s="14" t="str">
        <f t="shared" si="0"/>
        <v>MERLI SIMONE</v>
      </c>
    </row>
    <row r="21" spans="1:7" ht="20" customHeight="1" x14ac:dyDescent="0.2">
      <c r="A21" s="1" t="s">
        <v>56</v>
      </c>
      <c r="B21" s="1" t="s">
        <v>57</v>
      </c>
      <c r="C21" s="1" t="s">
        <v>8</v>
      </c>
      <c r="D21" s="1" t="s">
        <v>22</v>
      </c>
      <c r="E21" s="1" t="s">
        <v>15</v>
      </c>
      <c r="F21" s="3">
        <v>2789.13</v>
      </c>
      <c r="G21" s="14" t="str">
        <f t="shared" si="0"/>
        <v>MSAOUB DOAA</v>
      </c>
    </row>
    <row r="22" spans="1:7" ht="20" customHeight="1" x14ac:dyDescent="0.2">
      <c r="A22" s="1" t="s">
        <v>58</v>
      </c>
      <c r="B22" s="1" t="s">
        <v>59</v>
      </c>
      <c r="C22" s="1" t="s">
        <v>13</v>
      </c>
      <c r="D22" s="1" t="s">
        <v>28</v>
      </c>
      <c r="E22" s="1" t="s">
        <v>15</v>
      </c>
      <c r="F22" s="3">
        <v>6488.41</v>
      </c>
      <c r="G22" s="14" t="str">
        <f t="shared" si="0"/>
        <v>PERENCHIO MASSIMO</v>
      </c>
    </row>
    <row r="23" spans="1:7" ht="20" customHeight="1" x14ac:dyDescent="0.2">
      <c r="A23" s="1" t="s">
        <v>60</v>
      </c>
      <c r="B23" s="1" t="s">
        <v>61</v>
      </c>
      <c r="C23" s="1" t="s">
        <v>8</v>
      </c>
      <c r="D23" s="1" t="s">
        <v>28</v>
      </c>
      <c r="E23" s="1" t="s">
        <v>25</v>
      </c>
      <c r="F23" s="3">
        <v>9855.15</v>
      </c>
      <c r="G23" s="14" t="str">
        <f t="shared" si="0"/>
        <v>PETROCCA ELISABETTA</v>
      </c>
    </row>
    <row r="24" spans="1:7" ht="20" customHeight="1" x14ac:dyDescent="0.2">
      <c r="A24" s="1" t="s">
        <v>62</v>
      </c>
      <c r="B24" s="1" t="s">
        <v>21</v>
      </c>
      <c r="C24" s="1" t="s">
        <v>8</v>
      </c>
      <c r="D24" s="1" t="s">
        <v>9</v>
      </c>
      <c r="E24" s="1" t="s">
        <v>10</v>
      </c>
      <c r="F24" s="3">
        <v>9816.4500000000007</v>
      </c>
      <c r="G24" s="14" t="str">
        <f t="shared" si="0"/>
        <v>SONCIN MARTINA</v>
      </c>
    </row>
    <row r="25" spans="1:7" ht="20" customHeight="1" x14ac:dyDescent="0.2">
      <c r="A25" s="1" t="s">
        <v>63</v>
      </c>
      <c r="B25" s="1" t="s">
        <v>64</v>
      </c>
      <c r="C25" s="1" t="s">
        <v>13</v>
      </c>
      <c r="D25" s="1" t="s">
        <v>22</v>
      </c>
      <c r="E25" s="1" t="s">
        <v>10</v>
      </c>
      <c r="F25" s="3">
        <v>8342.9699999999993</v>
      </c>
      <c r="G25" s="14" t="str">
        <f t="shared" si="0"/>
        <v>TOMASI CONT GIOELE</v>
      </c>
    </row>
    <row r="26" spans="1:7" ht="20" customHeight="1" x14ac:dyDescent="0.2">
      <c r="A26" s="1" t="s">
        <v>65</v>
      </c>
      <c r="B26" s="1" t="s">
        <v>66</v>
      </c>
      <c r="C26" s="1" t="s">
        <v>8</v>
      </c>
      <c r="D26" s="1" t="s">
        <v>45</v>
      </c>
      <c r="E26" s="1" t="s">
        <v>15</v>
      </c>
      <c r="F26" s="3">
        <v>-3626.71</v>
      </c>
      <c r="G26" s="14" t="str">
        <f t="shared" si="0"/>
        <v>VASILE REBECCA CELESTINA</v>
      </c>
    </row>
    <row r="30" spans="1:7" ht="20" customHeight="1" x14ac:dyDescent="0.2">
      <c r="A30" s="4" t="s">
        <v>67</v>
      </c>
      <c r="B30" s="4" t="s">
        <v>68</v>
      </c>
      <c r="C30" s="4" t="s">
        <v>69</v>
      </c>
      <c r="D30" s="4" t="s">
        <v>70</v>
      </c>
      <c r="E30" s="4" t="s">
        <v>71</v>
      </c>
    </row>
    <row r="31" spans="1:7" ht="20" customHeight="1" x14ac:dyDescent="0.2">
      <c r="A31" s="11" t="s">
        <v>10</v>
      </c>
      <c r="B31" s="12">
        <f>SUMIFS($F$2:$F$26,E$2:E$26,A31)</f>
        <v>26234.270000000004</v>
      </c>
      <c r="C31" s="12">
        <f>AVERAGEIFS($F$2:$F$26,E$2:E$26,A31)</f>
        <v>2914.9188888888893</v>
      </c>
      <c r="D31" s="12">
        <f>AVERAGEIFS($F$2:$F$26,E$2:E$26,A31,$F$2:$F$26,"&gt;0")</f>
        <v>6965.0960000000005</v>
      </c>
      <c r="E31" s="12">
        <f>AVERAGEIFS($F$2:$F$26,E$2:E$26,A31,$F$2:$F$26,"&lt;0")</f>
        <v>-2147.8025000000002</v>
      </c>
    </row>
    <row r="32" spans="1:7" ht="20" customHeight="1" x14ac:dyDescent="0.2">
      <c r="A32" s="9" t="s">
        <v>25</v>
      </c>
      <c r="B32" s="10">
        <f>SUMIFS($F$2:$F$26,E$2:E$26,A32)</f>
        <v>9782.23</v>
      </c>
      <c r="C32" s="10">
        <f>AVERAGEIFS($F$2:$F$26,E$2:E$26,A32)</f>
        <v>1397.4614285714285</v>
      </c>
      <c r="D32" s="10">
        <f>AVERAGEIFS($F$2:$F$26,E$2:E$26,A32,$F$2:$F$26,"&gt;0")</f>
        <v>6658.3066666666664</v>
      </c>
      <c r="E32" s="10">
        <f>AVERAGEIFS($F$2:$F$26,E$2:E$26,A32,$F$2:$F$26,"&lt;0")</f>
        <v>-2548.1725000000001</v>
      </c>
    </row>
    <row r="33" spans="1:5" ht="20" customHeight="1" x14ac:dyDescent="0.2">
      <c r="A33" s="7" t="s">
        <v>15</v>
      </c>
      <c r="B33" s="8">
        <f>SUMIFS($F$2:$F$26,E$2:E$26,A33)</f>
        <v>47572.200000000004</v>
      </c>
      <c r="C33" s="8">
        <f>AVERAGEIFS($F$2:$F$26,E$2:E$26,A33)</f>
        <v>5285.8</v>
      </c>
      <c r="D33" s="8">
        <f>AVERAGEIFS($F$2:$F$26,E$2:E$26,A33,$F$2:$F$26,"&gt;0")</f>
        <v>6399.8637500000004</v>
      </c>
      <c r="E33" s="8">
        <f>AVERAGEIFS($F$2:$F$26,E$2:E$26,A33,$F$2:$F$26,"&lt;0")</f>
        <v>-3626.71</v>
      </c>
    </row>
    <row r="35" spans="1:5" ht="20" customHeight="1" x14ac:dyDescent="0.2">
      <c r="A35" s="2"/>
      <c r="B35" s="2"/>
      <c r="C35" s="2"/>
    </row>
    <row r="37" spans="1:5" ht="20" customHeight="1" x14ac:dyDescent="0.2">
      <c r="A37" s="4" t="s">
        <v>73</v>
      </c>
      <c r="B37" s="4" t="s">
        <v>74</v>
      </c>
      <c r="C37" s="4" t="s">
        <v>75</v>
      </c>
    </row>
    <row r="38" spans="1:5" ht="20" customHeight="1" x14ac:dyDescent="0.2">
      <c r="A38" s="13">
        <f>COUNTIFS($D$2:$D$26,"LAUREA*",$F$2:$F$26,"&lt;0")</f>
        <v>9</v>
      </c>
      <c r="B38" s="13">
        <f>COUNTIFS($D$2:$D$26,"LAUREA*",$C$2:$C$26,"M",$F$2:$F$26,"&lt;0")</f>
        <v>2</v>
      </c>
      <c r="C38" s="13">
        <f>COUNTIFS($D$2:$D$26,"LAUREA*",$C$2:$C$26,"F",$F$2:$F$26,"&lt;0")</f>
        <v>7</v>
      </c>
    </row>
    <row r="41" spans="1:5" ht="20" customHeight="1" x14ac:dyDescent="0.2">
      <c r="A41" s="4" t="s">
        <v>77</v>
      </c>
      <c r="B41" s="4" t="s">
        <v>78</v>
      </c>
      <c r="C41" s="4" t="s">
        <v>79</v>
      </c>
    </row>
    <row r="42" spans="1:5" ht="20" customHeight="1" x14ac:dyDescent="0.2">
      <c r="A42" s="5" t="s">
        <v>76</v>
      </c>
      <c r="B42" s="6">
        <f>_xlfn.XLOOKUP(A42,$G2:$G26,$F$2:$F$26)</f>
        <v>5717.61</v>
      </c>
      <c r="C42" s="5" t="str">
        <f>IF(B42&lt;0,"NEGATIVO",IF(B42&gt;0,"POSITIVO","NULLO"))</f>
        <v>POSITIVO</v>
      </c>
      <c r="D4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EXERCISES</vt:lpstr>
      <vt:lpstr>SOLUTIONS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Gillio  Francesco Giuseppe</cp:lastModifiedBy>
  <dcterms:created xsi:type="dcterms:W3CDTF">2025-02-11T18:43:08Z</dcterms:created>
  <dcterms:modified xsi:type="dcterms:W3CDTF">2025-02-12T14:45:36Z</dcterms:modified>
</cp:coreProperties>
</file>