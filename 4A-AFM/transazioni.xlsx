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francescogiuseppegillio/Downloads/"/>
    </mc:Choice>
  </mc:AlternateContent>
  <xr:revisionPtr revIDLastSave="0" documentId="8_{8C45A715-C84F-3748-A9FD-98CA9EA2A569}" xr6:coauthVersionLast="47" xr6:coauthVersionMax="47" xr10:uidLastSave="{00000000-0000-0000-0000-000000000000}"/>
  <bookViews>
    <workbookView xWindow="2240" yWindow="500" windowWidth="26460" windowHeight="17500" tabRatio="554" xr2:uid="{7977BE10-6C8A-C244-9578-EFDBD4F3320C}"/>
  </bookViews>
  <sheets>
    <sheet name="EXERCISES" sheetId="2" r:id="rId1"/>
    <sheet name="SOLU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</calcChain>
</file>

<file path=xl/sharedStrings.xml><?xml version="1.0" encoding="utf-8"?>
<sst xmlns="http://schemas.openxmlformats.org/spreadsheetml/2006/main" count="234" uniqueCount="63">
  <si>
    <t>ID Utente</t>
  </si>
  <si>
    <t>Numero Carta</t>
  </si>
  <si>
    <t>ID Transazione</t>
  </si>
  <si>
    <t>Importo (€)</t>
  </si>
  <si>
    <t>Data/Ora</t>
  </si>
  <si>
    <t>Tipo Transazione</t>
  </si>
  <si>
    <t>Città</t>
  </si>
  <si>
    <t>Fluttuazioni Anomale</t>
  </si>
  <si>
    <t>TXN025</t>
  </si>
  <si>
    <t>Atene</t>
  </si>
  <si>
    <t>TXN002</t>
  </si>
  <si>
    <t>Acquisto Online</t>
  </si>
  <si>
    <t>Amsterdam</t>
  </si>
  <si>
    <t>TXN003</t>
  </si>
  <si>
    <t>Bonifico</t>
  </si>
  <si>
    <t>Washington</t>
  </si>
  <si>
    <t>TXN004</t>
  </si>
  <si>
    <t>TXN005</t>
  </si>
  <si>
    <t>Roma</t>
  </si>
  <si>
    <t>TXN006</t>
  </si>
  <si>
    <t>TXN008</t>
  </si>
  <si>
    <t>Tokyo</t>
  </si>
  <si>
    <t>TXN009</t>
  </si>
  <si>
    <t>TXN010</t>
  </si>
  <si>
    <t>Londra</t>
  </si>
  <si>
    <t>TXN011</t>
  </si>
  <si>
    <t>Il Cairo</t>
  </si>
  <si>
    <t>TXN012</t>
  </si>
  <si>
    <t>TXN014</t>
  </si>
  <si>
    <t>Vienna</t>
  </si>
  <si>
    <t>TXN015</t>
  </si>
  <si>
    <t>TXN016</t>
  </si>
  <si>
    <t>TXN017</t>
  </si>
  <si>
    <t>TXN018</t>
  </si>
  <si>
    <t>TXN020</t>
  </si>
  <si>
    <t>Berlino</t>
  </si>
  <si>
    <t>TXN021</t>
  </si>
  <si>
    <t>TXN022</t>
  </si>
  <si>
    <t>Parigi</t>
  </si>
  <si>
    <t>TXN023</t>
  </si>
  <si>
    <t>TXN024</t>
  </si>
  <si>
    <t>Storico</t>
  </si>
  <si>
    <t>Anomalia per Importo</t>
  </si>
  <si>
    <t>Duplicato Transazione</t>
  </si>
  <si>
    <t>Anomalia per Località</t>
  </si>
  <si>
    <t>Anomalia per Intervallo di Tempo</t>
  </si>
  <si>
    <t>4478754881834900</t>
  </si>
  <si>
    <t>4794566839955780</t>
  </si>
  <si>
    <t>4255485736558250</t>
  </si>
  <si>
    <t>4706931100196800</t>
  </si>
  <si>
    <t>4648606164658900</t>
  </si>
  <si>
    <t>4185392355176240</t>
  </si>
  <si>
    <t>4641767435070530</t>
  </si>
  <si>
    <t>4174764121731670</t>
  </si>
  <si>
    <t>4746886896973060</t>
  </si>
  <si>
    <t>4299230033352870</t>
  </si>
  <si>
    <t>4524227465456750</t>
  </si>
  <si>
    <t>4110182345968870</t>
  </si>
  <si>
    <t>4291707348841080</t>
  </si>
  <si>
    <t>4869065706915320</t>
  </si>
  <si>
    <t>4967387226459290</t>
  </si>
  <si>
    <t>Prelievo ATM</t>
  </si>
  <si>
    <t>Acquisto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</si>
</sst>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yyyy\-mm\-dd\ hh:mm:ss"/>
  </numFmts>
  <fonts count="6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ill="0" applyBorder="0" applyAlignment="0" applyProtection="0"/>
    <xf numFmtId="0" fontId="2" fillId="0" borderId="0"/>
  </cellStyleXfs>
  <cellXfs count="8">
    <xf numFmtId="0" fontId="0" fillId="0" borderId="0" xfId="0"/>
    <xf numFmtId="44" fontId="3" fillId="0" borderId="0" xfId="1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49" fontId="4" fillId="0" borderId="0" xfId="2" applyNumberFormat="1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/>
    </xf>
    <xf numFmtId="49" fontId="5" fillId="0" borderId="0" xfId="2" applyNumberFormat="1" applyFont="1" applyFill="1" applyBorder="1" applyAlignment="1">
      <alignment horizontal="left" vertical="center"/>
    </xf>
    <xf numFmtId="44" fontId="1" fillId="0" borderId="0" xfId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</cellXfs>
  <cellStyles count="3">
    <cellStyle name="Excel Built-in Normal" xfId="2" xr:uid="{554C54F5-64B8-CA41-ABDE-8BC55996443F}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7169-D78A-BD4C-BCED-54D83C5B7B2D}">
  <dimension ref="A1:L34"/>
  <sheetViews>
    <sheetView tabSelected="1" zoomScale="63" zoomScaleNormal="63" workbookViewId="0">
      <selection activeCell="H2" sqref="H2"/>
    </sheetView>
  </sheetViews>
  <sheetFormatPr baseColWidth="10" defaultColWidth="12.83203125" defaultRowHeight="20" customHeight="1" x14ac:dyDescent="0.15"/>
  <cols>
    <col min="1" max="1" width="25.83203125" style="4" customWidth="1"/>
    <col min="2" max="2" width="25.83203125" style="5" customWidth="1"/>
    <col min="3" max="3" width="25.83203125" style="4" customWidth="1"/>
    <col min="4" max="4" width="25.83203125" style="6" customWidth="1"/>
    <col min="5" max="256" width="25.83203125" style="4" customWidth="1"/>
    <col min="257" max="16384" width="12.83203125" style="4"/>
  </cols>
  <sheetData>
    <row r="1" spans="1:12" ht="20" customHeight="1" x14ac:dyDescent="0.15">
      <c r="A1" s="2" t="s">
        <v>0</v>
      </c>
      <c r="B1" s="3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7</v>
      </c>
    </row>
    <row r="2" spans="1:12" ht="20" customHeight="1" x14ac:dyDescent="0.15">
      <c r="A2" s="4">
        <v>5678</v>
      </c>
      <c r="B2" s="5" t="s">
        <v>46</v>
      </c>
      <c r="C2" s="4" t="s">
        <v>8</v>
      </c>
      <c r="D2" s="6">
        <v>4401.8</v>
      </c>
      <c r="E2" s="7">
        <v>45692.149305555555</v>
      </c>
      <c r="F2" s="4" t="s">
        <v>62</v>
      </c>
      <c r="G2" s="4" t="s">
        <v>9</v>
      </c>
    </row>
    <row r="3" spans="1:12" ht="20" customHeight="1" x14ac:dyDescent="0.15">
      <c r="A3" s="4">
        <v>1121</v>
      </c>
      <c r="B3" s="5" t="s">
        <v>47</v>
      </c>
      <c r="C3" s="4" t="s">
        <v>10</v>
      </c>
      <c r="D3" s="6">
        <v>3831.66</v>
      </c>
      <c r="E3" s="7">
        <v>45688.152777777781</v>
      </c>
      <c r="F3" s="4" t="s">
        <v>11</v>
      </c>
      <c r="G3" s="4" t="s">
        <v>12</v>
      </c>
    </row>
    <row r="4" spans="1:12" ht="20" customHeight="1" x14ac:dyDescent="0.15">
      <c r="A4" s="4">
        <v>3141</v>
      </c>
      <c r="B4" s="5" t="s">
        <v>48</v>
      </c>
      <c r="C4" s="4" t="s">
        <v>13</v>
      </c>
      <c r="D4" s="6">
        <v>3502.59</v>
      </c>
      <c r="E4" s="7">
        <v>45688.524305555555</v>
      </c>
      <c r="F4" s="4" t="s">
        <v>14</v>
      </c>
      <c r="G4" s="4" t="s">
        <v>15</v>
      </c>
    </row>
    <row r="5" spans="1:12" ht="20" customHeight="1" x14ac:dyDescent="0.15">
      <c r="A5" s="4">
        <v>1234</v>
      </c>
      <c r="B5" s="5" t="s">
        <v>49</v>
      </c>
      <c r="C5" s="4" t="s">
        <v>16</v>
      </c>
      <c r="D5" s="6">
        <v>3563.55</v>
      </c>
      <c r="E5" s="7">
        <v>45697.184027777781</v>
      </c>
      <c r="F5" s="4" t="s">
        <v>62</v>
      </c>
      <c r="G5" s="4" t="s">
        <v>9</v>
      </c>
    </row>
    <row r="6" spans="1:12" ht="20" customHeight="1" x14ac:dyDescent="0.15">
      <c r="A6" s="4">
        <v>1234</v>
      </c>
      <c r="B6" s="5" t="s">
        <v>50</v>
      </c>
      <c r="C6" s="4" t="s">
        <v>17</v>
      </c>
      <c r="D6" s="6">
        <v>4189.5600000000004</v>
      </c>
      <c r="E6" s="7">
        <v>45701.166666666664</v>
      </c>
      <c r="F6" s="4" t="s">
        <v>61</v>
      </c>
      <c r="G6" s="4" t="s">
        <v>18</v>
      </c>
    </row>
    <row r="7" spans="1:12" ht="20" customHeight="1" x14ac:dyDescent="0.15">
      <c r="A7" s="4">
        <v>1121</v>
      </c>
      <c r="B7" s="5" t="s">
        <v>51</v>
      </c>
      <c r="C7" s="4" t="s">
        <v>19</v>
      </c>
      <c r="D7" s="6">
        <v>4380.33</v>
      </c>
      <c r="E7" s="7">
        <v>45695.809027777781</v>
      </c>
      <c r="F7" s="4" t="s">
        <v>14</v>
      </c>
      <c r="G7" s="4" t="s">
        <v>18</v>
      </c>
    </row>
    <row r="8" spans="1:12" ht="20" customHeight="1" x14ac:dyDescent="0.15">
      <c r="A8" s="4">
        <v>1121</v>
      </c>
      <c r="B8" s="5" t="s">
        <v>52</v>
      </c>
      <c r="C8" s="4" t="s">
        <v>19</v>
      </c>
      <c r="D8" s="6">
        <v>2926.35</v>
      </c>
      <c r="E8" s="7">
        <v>45682.6875</v>
      </c>
      <c r="F8" s="4" t="s">
        <v>14</v>
      </c>
      <c r="G8" s="4" t="s">
        <v>12</v>
      </c>
    </row>
    <row r="9" spans="1:12" ht="20" customHeight="1" x14ac:dyDescent="0.15">
      <c r="A9" s="4">
        <v>3141</v>
      </c>
      <c r="B9" s="5" t="s">
        <v>46</v>
      </c>
      <c r="C9" s="4" t="s">
        <v>20</v>
      </c>
      <c r="D9" s="6">
        <v>48722.1</v>
      </c>
      <c r="E9" s="7">
        <v>45692.149305555555</v>
      </c>
      <c r="F9" s="4" t="s">
        <v>62</v>
      </c>
      <c r="G9" s="4" t="s">
        <v>21</v>
      </c>
    </row>
    <row r="10" spans="1:12" ht="20" customHeight="1" x14ac:dyDescent="0.15">
      <c r="A10" s="4">
        <v>1121</v>
      </c>
      <c r="B10" s="5" t="s">
        <v>53</v>
      </c>
      <c r="C10" s="4" t="s">
        <v>22</v>
      </c>
      <c r="D10" s="6">
        <v>9247.83</v>
      </c>
      <c r="E10" s="7">
        <v>45703.34375</v>
      </c>
      <c r="F10" s="4" t="s">
        <v>62</v>
      </c>
      <c r="G10" s="4" t="s">
        <v>12</v>
      </c>
    </row>
    <row r="11" spans="1:12" ht="20" customHeight="1" x14ac:dyDescent="0.15">
      <c r="A11" s="4">
        <v>9101</v>
      </c>
      <c r="B11" s="5" t="s">
        <v>54</v>
      </c>
      <c r="C11" s="4" t="s">
        <v>23</v>
      </c>
      <c r="D11" s="6">
        <v>10814.31</v>
      </c>
      <c r="E11" s="7">
        <v>45700.215277777781</v>
      </c>
      <c r="F11" s="4" t="s">
        <v>61</v>
      </c>
      <c r="G11" s="4" t="s">
        <v>24</v>
      </c>
    </row>
    <row r="12" spans="1:12" ht="20" customHeight="1" x14ac:dyDescent="0.15">
      <c r="A12" s="4">
        <v>1121</v>
      </c>
      <c r="B12" s="5" t="s">
        <v>55</v>
      </c>
      <c r="C12" s="4" t="s">
        <v>25</v>
      </c>
      <c r="D12" s="6">
        <v>13849.71</v>
      </c>
      <c r="E12" s="7">
        <v>45702.875</v>
      </c>
      <c r="F12" s="4" t="s">
        <v>14</v>
      </c>
      <c r="G12" s="4" t="s">
        <v>26</v>
      </c>
    </row>
    <row r="13" spans="1:12" ht="20" customHeight="1" x14ac:dyDescent="0.15">
      <c r="A13" s="4">
        <v>1121</v>
      </c>
      <c r="B13" s="5" t="s">
        <v>56</v>
      </c>
      <c r="C13" s="4" t="s">
        <v>27</v>
      </c>
      <c r="D13" s="6">
        <v>7985.01</v>
      </c>
      <c r="E13" s="7">
        <v>45686.298611111109</v>
      </c>
      <c r="F13" s="4" t="s">
        <v>14</v>
      </c>
      <c r="G13" s="4" t="s">
        <v>12</v>
      </c>
    </row>
    <row r="14" spans="1:12" ht="20" customHeight="1" x14ac:dyDescent="0.15">
      <c r="A14" s="4">
        <v>9101</v>
      </c>
      <c r="B14" s="5" t="s">
        <v>57</v>
      </c>
      <c r="C14" s="4" t="s">
        <v>27</v>
      </c>
      <c r="D14" s="6">
        <v>7063.38</v>
      </c>
      <c r="E14" s="7">
        <v>45704.21875</v>
      </c>
      <c r="F14" s="4" t="s">
        <v>61</v>
      </c>
      <c r="G14" s="4" t="s">
        <v>24</v>
      </c>
    </row>
    <row r="15" spans="1:12" ht="20" customHeight="1" x14ac:dyDescent="0.15">
      <c r="A15" s="4">
        <v>9101</v>
      </c>
      <c r="B15" s="5" t="s">
        <v>58</v>
      </c>
      <c r="C15" s="4" t="s">
        <v>28</v>
      </c>
      <c r="D15" s="6">
        <v>11120.43</v>
      </c>
      <c r="E15" s="7">
        <v>45682.635416666664</v>
      </c>
      <c r="F15" s="4" t="s">
        <v>61</v>
      </c>
      <c r="G15" s="4" t="s">
        <v>29</v>
      </c>
    </row>
    <row r="16" spans="1:12" ht="20" customHeight="1" x14ac:dyDescent="0.15">
      <c r="A16" s="4">
        <v>1234</v>
      </c>
      <c r="B16" s="5" t="s">
        <v>59</v>
      </c>
      <c r="C16" s="4" t="s">
        <v>30</v>
      </c>
      <c r="D16" s="6">
        <v>51644.25</v>
      </c>
      <c r="E16" s="7">
        <v>45679.194444444445</v>
      </c>
      <c r="F16" s="4" t="s">
        <v>14</v>
      </c>
      <c r="G16" s="4" t="s">
        <v>9</v>
      </c>
    </row>
    <row r="17" spans="1:7" ht="20" customHeight="1" x14ac:dyDescent="0.15">
      <c r="A17" s="4">
        <v>1234</v>
      </c>
      <c r="B17" s="5" t="s">
        <v>60</v>
      </c>
      <c r="C17" s="4" t="s">
        <v>31</v>
      </c>
      <c r="D17" s="6">
        <v>3313.95</v>
      </c>
      <c r="E17" s="7">
        <v>45694.201597222222</v>
      </c>
      <c r="F17" s="4" t="s">
        <v>11</v>
      </c>
      <c r="G17" s="4" t="s">
        <v>24</v>
      </c>
    </row>
    <row r="18" spans="1:7" ht="20" customHeight="1" x14ac:dyDescent="0.15">
      <c r="A18" s="4">
        <v>9101</v>
      </c>
      <c r="B18" s="5" t="s">
        <v>60</v>
      </c>
      <c r="C18" s="4" t="s">
        <v>32</v>
      </c>
      <c r="D18" s="6">
        <v>1944.06</v>
      </c>
      <c r="E18" s="7">
        <v>45687.638888888891</v>
      </c>
      <c r="F18" s="4" t="s">
        <v>14</v>
      </c>
      <c r="G18" s="4" t="s">
        <v>29</v>
      </c>
    </row>
    <row r="19" spans="1:7" ht="20" customHeight="1" x14ac:dyDescent="0.15">
      <c r="A19" s="4">
        <v>1234</v>
      </c>
      <c r="B19" s="5" t="s">
        <v>60</v>
      </c>
      <c r="C19" s="4" t="s">
        <v>33</v>
      </c>
      <c r="D19" s="6">
        <v>2119.3200000000002</v>
      </c>
      <c r="E19" s="7">
        <v>45695.822916666664</v>
      </c>
      <c r="F19" s="4" t="s">
        <v>14</v>
      </c>
      <c r="G19" s="4" t="s">
        <v>18</v>
      </c>
    </row>
    <row r="20" spans="1:7" ht="20" customHeight="1" x14ac:dyDescent="0.15">
      <c r="A20" s="4">
        <v>3141</v>
      </c>
      <c r="B20" s="5" t="s">
        <v>60</v>
      </c>
      <c r="C20" s="4" t="s">
        <v>33</v>
      </c>
      <c r="D20" s="6">
        <v>14971.17</v>
      </c>
      <c r="E20" s="7">
        <v>45685.267361111109</v>
      </c>
      <c r="F20" s="4" t="s">
        <v>62</v>
      </c>
      <c r="G20" s="4" t="s">
        <v>15</v>
      </c>
    </row>
    <row r="21" spans="1:7" ht="20" customHeight="1" x14ac:dyDescent="0.15">
      <c r="A21" s="4">
        <v>1121</v>
      </c>
      <c r="B21" s="5" t="s">
        <v>60</v>
      </c>
      <c r="C21" s="4" t="s">
        <v>34</v>
      </c>
      <c r="D21" s="6">
        <v>2669.85</v>
      </c>
      <c r="E21" s="7">
        <v>45678.725694444445</v>
      </c>
      <c r="F21" s="4" t="s">
        <v>11</v>
      </c>
      <c r="G21" s="4" t="s">
        <v>35</v>
      </c>
    </row>
    <row r="22" spans="1:7" ht="20" customHeight="1" x14ac:dyDescent="0.15">
      <c r="A22" s="4">
        <v>1234</v>
      </c>
      <c r="B22" s="5" t="s">
        <v>60</v>
      </c>
      <c r="C22" s="4" t="s">
        <v>36</v>
      </c>
      <c r="D22" s="6">
        <v>3821.72</v>
      </c>
      <c r="E22" s="7">
        <v>45691.895833333336</v>
      </c>
      <c r="F22" s="4" t="s">
        <v>62</v>
      </c>
      <c r="G22" s="4" t="s">
        <v>26</v>
      </c>
    </row>
    <row r="23" spans="1:7" ht="20" customHeight="1" x14ac:dyDescent="0.15">
      <c r="A23" s="4">
        <v>5678</v>
      </c>
      <c r="B23" s="5" t="s">
        <v>60</v>
      </c>
      <c r="C23" s="4" t="s">
        <v>37</v>
      </c>
      <c r="D23" s="6">
        <v>71068.350000000006</v>
      </c>
      <c r="E23" s="7">
        <v>45692.138888888891</v>
      </c>
      <c r="F23" s="4" t="s">
        <v>61</v>
      </c>
      <c r="G23" s="4" t="s">
        <v>38</v>
      </c>
    </row>
    <row r="24" spans="1:7" ht="20" customHeight="1" x14ac:dyDescent="0.15">
      <c r="A24" s="4">
        <v>3141</v>
      </c>
      <c r="B24" s="5" t="s">
        <v>60</v>
      </c>
      <c r="C24" s="4" t="s">
        <v>39</v>
      </c>
      <c r="D24" s="6">
        <v>11678.13</v>
      </c>
      <c r="E24" s="7">
        <v>45707.184027777781</v>
      </c>
      <c r="F24" s="4" t="s">
        <v>14</v>
      </c>
      <c r="G24" s="4" t="s">
        <v>15</v>
      </c>
    </row>
    <row r="25" spans="1:7" ht="20" customHeight="1" x14ac:dyDescent="0.15">
      <c r="A25" s="4">
        <v>1234</v>
      </c>
      <c r="B25" s="5" t="s">
        <v>60</v>
      </c>
      <c r="C25" s="4" t="s">
        <v>40</v>
      </c>
      <c r="D25" s="6">
        <v>2629.2</v>
      </c>
      <c r="E25" s="7">
        <v>45680.611111111109</v>
      </c>
      <c r="F25" s="4" t="s">
        <v>14</v>
      </c>
      <c r="G25" s="4" t="s">
        <v>18</v>
      </c>
    </row>
    <row r="26" spans="1:7" ht="20" customHeight="1" x14ac:dyDescent="0.15">
      <c r="A26" s="4">
        <v>1121</v>
      </c>
      <c r="B26" s="5" t="s">
        <v>60</v>
      </c>
      <c r="C26" s="4" t="s">
        <v>40</v>
      </c>
      <c r="D26" s="6">
        <v>1511.04</v>
      </c>
      <c r="E26" s="7">
        <v>45691.909722222219</v>
      </c>
      <c r="F26" s="4" t="s">
        <v>61</v>
      </c>
      <c r="G26" s="4" t="s">
        <v>12</v>
      </c>
    </row>
    <row r="30" spans="1:7" ht="20" customHeight="1" x14ac:dyDescent="0.15">
      <c r="G30" s="2" t="s">
        <v>41</v>
      </c>
    </row>
    <row r="31" spans="1:7" ht="20" customHeight="1" x14ac:dyDescent="0.15">
      <c r="G31" s="4" t="s">
        <v>18</v>
      </c>
    </row>
    <row r="32" spans="1:7" ht="20" customHeight="1" x14ac:dyDescent="0.15">
      <c r="G32" s="4" t="s">
        <v>38</v>
      </c>
    </row>
    <row r="33" spans="7:7" ht="20" customHeight="1" x14ac:dyDescent="0.15">
      <c r="G33" s="4" t="s">
        <v>24</v>
      </c>
    </row>
    <row r="34" spans="7:7" ht="20" customHeight="1" x14ac:dyDescent="0.15">
      <c r="G34" s="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EDFC-2915-DD4B-AF2A-33AB242F40FB}">
  <dimension ref="A1:L34"/>
  <sheetViews>
    <sheetView zoomScale="68" zoomScaleNormal="70" workbookViewId="0">
      <selection sqref="A1:XFD1048576"/>
    </sheetView>
  </sheetViews>
  <sheetFormatPr baseColWidth="10" defaultColWidth="12.83203125" defaultRowHeight="20" customHeight="1" x14ac:dyDescent="0.15"/>
  <cols>
    <col min="1" max="1" width="25.83203125" style="4" customWidth="1"/>
    <col min="2" max="2" width="25.83203125" style="5" customWidth="1"/>
    <col min="3" max="3" width="25.83203125" style="4" customWidth="1"/>
    <col min="4" max="4" width="25.83203125" style="6" customWidth="1"/>
    <col min="5" max="256" width="25.83203125" style="4" customWidth="1"/>
    <col min="257" max="16384" width="12.83203125" style="4"/>
  </cols>
  <sheetData>
    <row r="1" spans="1:12" ht="20" customHeight="1" x14ac:dyDescent="0.15">
      <c r="A1" s="2" t="s">
        <v>0</v>
      </c>
      <c r="B1" s="3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7</v>
      </c>
    </row>
    <row r="2" spans="1:12" ht="20" customHeight="1" x14ac:dyDescent="0.15">
      <c r="A2" s="4">
        <v>5678</v>
      </c>
      <c r="B2" s="5" t="s">
        <v>46</v>
      </c>
      <c r="C2" s="4" t="s">
        <v>8</v>
      </c>
      <c r="D2" s="6">
        <v>4401.8</v>
      </c>
      <c r="E2" s="7">
        <v>45692.149305555555</v>
      </c>
      <c r="F2" s="4" t="s">
        <v>62</v>
      </c>
      <c r="G2" s="4" t="s">
        <v>9</v>
      </c>
      <c r="H2" s="4">
        <f>IF(ABS(D2-AVERAGE($D$2:$D$26))&gt;STDEV($D$2:$D$26), 1, 0)</f>
        <v>0</v>
      </c>
      <c r="I2" s="4">
        <f>IF(COUNTIF($C$2:$C$26, C2)&gt;1, 1, 0)</f>
        <v>0</v>
      </c>
      <c r="J2" s="4">
        <f>IF(COUNTIF($G$31:$G$34, G2)=0, 1, 0)</f>
        <v>1</v>
      </c>
      <c r="K2" s="4">
        <f>IF(COUNTIFS($B$2:$B$26, B2, $E$2:$E$26, E2)&gt;1, 1, 0)</f>
        <v>1</v>
      </c>
      <c r="L2" s="4">
        <f>IF(ABS(D3-D2)&gt;STDEV($D$2:$D$26), 1, 0)</f>
        <v>0</v>
      </c>
    </row>
    <row r="3" spans="1:12" ht="20" customHeight="1" x14ac:dyDescent="0.15">
      <c r="A3" s="4">
        <v>1121</v>
      </c>
      <c r="B3" s="5" t="s">
        <v>47</v>
      </c>
      <c r="C3" s="4" t="s">
        <v>10</v>
      </c>
      <c r="D3" s="6">
        <v>3831.66</v>
      </c>
      <c r="E3" s="7">
        <v>45688.152777777781</v>
      </c>
      <c r="F3" s="4" t="s">
        <v>11</v>
      </c>
      <c r="G3" s="4" t="s">
        <v>12</v>
      </c>
      <c r="H3" s="4">
        <f t="shared" ref="H3:H26" si="0">IF(ABS(D3-AVERAGE($D$2:$D$26))&gt;STDEV($D$2:$D$26), 1, 0)</f>
        <v>0</v>
      </c>
      <c r="I3" s="4">
        <f t="shared" ref="I3:I26" si="1">IF(COUNTIF($C$2:$C$26, C3)&gt;1, 1, 0)</f>
        <v>0</v>
      </c>
      <c r="J3" s="4">
        <f t="shared" ref="J3:J26" si="2">IF(COUNTIF($G$31:$G$34, G3)=0, 1, 0)</f>
        <v>1</v>
      </c>
      <c r="K3" s="4">
        <f t="shared" ref="K3:K26" si="3">IF(COUNTIFS($B$2:$B$26, B3, $E$2:$E$26, E3)&gt;1, 1, 0)</f>
        <v>0</v>
      </c>
      <c r="L3" s="4">
        <f t="shared" ref="L3:L26" si="4">IF(ABS(D4-D3)&gt;STDEV($D$2:$D$26), 1, 0)</f>
        <v>0</v>
      </c>
    </row>
    <row r="4" spans="1:12" ht="20" customHeight="1" x14ac:dyDescent="0.15">
      <c r="A4" s="4">
        <v>3141</v>
      </c>
      <c r="B4" s="5" t="s">
        <v>48</v>
      </c>
      <c r="C4" s="4" t="s">
        <v>13</v>
      </c>
      <c r="D4" s="6">
        <v>3502.59</v>
      </c>
      <c r="E4" s="7">
        <v>45688.524305555555</v>
      </c>
      <c r="F4" s="4" t="s">
        <v>14</v>
      </c>
      <c r="G4" s="4" t="s">
        <v>15</v>
      </c>
      <c r="H4" s="4">
        <f t="shared" si="0"/>
        <v>0</v>
      </c>
      <c r="I4" s="4">
        <f t="shared" si="1"/>
        <v>0</v>
      </c>
      <c r="J4" s="4">
        <f t="shared" si="2"/>
        <v>1</v>
      </c>
      <c r="K4" s="4">
        <f t="shared" si="3"/>
        <v>0</v>
      </c>
      <c r="L4" s="4">
        <f t="shared" si="4"/>
        <v>0</v>
      </c>
    </row>
    <row r="5" spans="1:12" ht="20" customHeight="1" x14ac:dyDescent="0.15">
      <c r="A5" s="4">
        <v>1234</v>
      </c>
      <c r="B5" s="5" t="s">
        <v>49</v>
      </c>
      <c r="C5" s="4" t="s">
        <v>16</v>
      </c>
      <c r="D5" s="6">
        <v>3563.55</v>
      </c>
      <c r="E5" s="7">
        <v>45697.184027777781</v>
      </c>
      <c r="F5" s="4" t="s">
        <v>62</v>
      </c>
      <c r="G5" s="4" t="s">
        <v>9</v>
      </c>
      <c r="H5" s="4">
        <f t="shared" si="0"/>
        <v>0</v>
      </c>
      <c r="I5" s="4">
        <f t="shared" si="1"/>
        <v>0</v>
      </c>
      <c r="J5" s="4">
        <f t="shared" si="2"/>
        <v>1</v>
      </c>
      <c r="K5" s="4">
        <f t="shared" si="3"/>
        <v>0</v>
      </c>
      <c r="L5" s="4">
        <f t="shared" si="4"/>
        <v>0</v>
      </c>
    </row>
    <row r="6" spans="1:12" ht="20" customHeight="1" x14ac:dyDescent="0.15">
      <c r="A6" s="4">
        <v>1234</v>
      </c>
      <c r="B6" s="5" t="s">
        <v>50</v>
      </c>
      <c r="C6" s="4" t="s">
        <v>17</v>
      </c>
      <c r="D6" s="6">
        <v>4189.5600000000004</v>
      </c>
      <c r="E6" s="7">
        <v>45701.166666666664</v>
      </c>
      <c r="F6" s="4" t="s">
        <v>61</v>
      </c>
      <c r="G6" s="4" t="s">
        <v>18</v>
      </c>
      <c r="H6" s="4">
        <f t="shared" si="0"/>
        <v>0</v>
      </c>
      <c r="I6" s="4">
        <f t="shared" si="1"/>
        <v>0</v>
      </c>
      <c r="J6" s="4">
        <f t="shared" si="2"/>
        <v>0</v>
      </c>
      <c r="K6" s="4">
        <f t="shared" si="3"/>
        <v>0</v>
      </c>
      <c r="L6" s="4">
        <f t="shared" si="4"/>
        <v>0</v>
      </c>
    </row>
    <row r="7" spans="1:12" ht="20" customHeight="1" x14ac:dyDescent="0.15">
      <c r="A7" s="4">
        <v>1121</v>
      </c>
      <c r="B7" s="5" t="s">
        <v>51</v>
      </c>
      <c r="C7" s="4" t="s">
        <v>19</v>
      </c>
      <c r="D7" s="6">
        <v>4380.33</v>
      </c>
      <c r="E7" s="7">
        <v>45695.809027777781</v>
      </c>
      <c r="F7" s="4" t="s">
        <v>14</v>
      </c>
      <c r="G7" s="4" t="s">
        <v>18</v>
      </c>
      <c r="H7" s="4">
        <f t="shared" si="0"/>
        <v>0</v>
      </c>
      <c r="I7" s="4">
        <f t="shared" si="1"/>
        <v>1</v>
      </c>
      <c r="J7" s="4">
        <f t="shared" si="2"/>
        <v>0</v>
      </c>
      <c r="K7" s="4">
        <f t="shared" si="3"/>
        <v>0</v>
      </c>
      <c r="L7" s="4">
        <f t="shared" si="4"/>
        <v>0</v>
      </c>
    </row>
    <row r="8" spans="1:12" ht="20" customHeight="1" x14ac:dyDescent="0.15">
      <c r="A8" s="4">
        <v>1121</v>
      </c>
      <c r="B8" s="5" t="s">
        <v>52</v>
      </c>
      <c r="C8" s="4" t="s">
        <v>19</v>
      </c>
      <c r="D8" s="6">
        <v>2926.35</v>
      </c>
      <c r="E8" s="7">
        <v>45682.6875</v>
      </c>
      <c r="F8" s="4" t="s">
        <v>14</v>
      </c>
      <c r="G8" s="4" t="s">
        <v>12</v>
      </c>
      <c r="H8" s="4">
        <f t="shared" si="0"/>
        <v>0</v>
      </c>
      <c r="I8" s="4">
        <f t="shared" si="1"/>
        <v>1</v>
      </c>
      <c r="J8" s="4">
        <f t="shared" si="2"/>
        <v>1</v>
      </c>
      <c r="K8" s="4">
        <f t="shared" si="3"/>
        <v>0</v>
      </c>
      <c r="L8" s="4">
        <f t="shared" si="4"/>
        <v>1</v>
      </c>
    </row>
    <row r="9" spans="1:12" ht="20" customHeight="1" x14ac:dyDescent="0.15">
      <c r="A9" s="4">
        <v>3141</v>
      </c>
      <c r="B9" s="5" t="s">
        <v>46</v>
      </c>
      <c r="C9" s="4" t="s">
        <v>20</v>
      </c>
      <c r="D9" s="6">
        <v>48722.1</v>
      </c>
      <c r="E9" s="7">
        <v>45692.149305555555</v>
      </c>
      <c r="F9" s="4" t="s">
        <v>62</v>
      </c>
      <c r="G9" s="4" t="s">
        <v>21</v>
      </c>
      <c r="H9" s="4">
        <f t="shared" si="0"/>
        <v>1</v>
      </c>
      <c r="I9" s="4">
        <f t="shared" si="1"/>
        <v>0</v>
      </c>
      <c r="J9" s="4">
        <f t="shared" si="2"/>
        <v>1</v>
      </c>
      <c r="K9" s="4">
        <f t="shared" si="3"/>
        <v>1</v>
      </c>
      <c r="L9" s="4">
        <f t="shared" si="4"/>
        <v>1</v>
      </c>
    </row>
    <row r="10" spans="1:12" ht="20" customHeight="1" x14ac:dyDescent="0.15">
      <c r="A10" s="4">
        <v>1121</v>
      </c>
      <c r="B10" s="5" t="s">
        <v>53</v>
      </c>
      <c r="C10" s="4" t="s">
        <v>22</v>
      </c>
      <c r="D10" s="6">
        <v>9247.83</v>
      </c>
      <c r="E10" s="7">
        <v>45703.34375</v>
      </c>
      <c r="F10" s="4" t="s">
        <v>62</v>
      </c>
      <c r="G10" s="4" t="s">
        <v>12</v>
      </c>
      <c r="H10" s="4">
        <f t="shared" si="0"/>
        <v>0</v>
      </c>
      <c r="I10" s="4">
        <f t="shared" si="1"/>
        <v>0</v>
      </c>
      <c r="J10" s="4">
        <f t="shared" si="2"/>
        <v>1</v>
      </c>
      <c r="K10" s="4">
        <f t="shared" si="3"/>
        <v>0</v>
      </c>
      <c r="L10" s="4">
        <f t="shared" si="4"/>
        <v>0</v>
      </c>
    </row>
    <row r="11" spans="1:12" ht="20" customHeight="1" x14ac:dyDescent="0.15">
      <c r="A11" s="4">
        <v>9101</v>
      </c>
      <c r="B11" s="5" t="s">
        <v>54</v>
      </c>
      <c r="C11" s="4" t="s">
        <v>23</v>
      </c>
      <c r="D11" s="6">
        <v>10814.31</v>
      </c>
      <c r="E11" s="7">
        <v>45700.215277777781</v>
      </c>
      <c r="F11" s="4" t="s">
        <v>61</v>
      </c>
      <c r="G11" s="4" t="s">
        <v>24</v>
      </c>
      <c r="H11" s="4">
        <f t="shared" si="0"/>
        <v>0</v>
      </c>
      <c r="I11" s="4">
        <f t="shared" si="1"/>
        <v>0</v>
      </c>
      <c r="J11" s="4">
        <f t="shared" si="2"/>
        <v>0</v>
      </c>
      <c r="K11" s="4">
        <f t="shared" si="3"/>
        <v>0</v>
      </c>
      <c r="L11" s="4">
        <f t="shared" si="4"/>
        <v>0</v>
      </c>
    </row>
    <row r="12" spans="1:12" ht="20" customHeight="1" x14ac:dyDescent="0.15">
      <c r="A12" s="4">
        <v>1121</v>
      </c>
      <c r="B12" s="5" t="s">
        <v>55</v>
      </c>
      <c r="C12" s="4" t="s">
        <v>25</v>
      </c>
      <c r="D12" s="6">
        <v>13849.71</v>
      </c>
      <c r="E12" s="7">
        <v>45702.875</v>
      </c>
      <c r="F12" s="4" t="s">
        <v>14</v>
      </c>
      <c r="G12" s="4" t="s">
        <v>26</v>
      </c>
      <c r="H12" s="4">
        <f t="shared" si="0"/>
        <v>0</v>
      </c>
      <c r="I12" s="4">
        <f t="shared" si="1"/>
        <v>0</v>
      </c>
      <c r="J12" s="4">
        <f t="shared" si="2"/>
        <v>1</v>
      </c>
      <c r="K12" s="4">
        <f t="shared" si="3"/>
        <v>0</v>
      </c>
      <c r="L12" s="4">
        <f t="shared" si="4"/>
        <v>0</v>
      </c>
    </row>
    <row r="13" spans="1:12" ht="20" customHeight="1" x14ac:dyDescent="0.15">
      <c r="A13" s="4">
        <v>1121</v>
      </c>
      <c r="B13" s="5" t="s">
        <v>56</v>
      </c>
      <c r="C13" s="4" t="s">
        <v>27</v>
      </c>
      <c r="D13" s="6">
        <v>7985.01</v>
      </c>
      <c r="E13" s="7">
        <v>45686.298611111109</v>
      </c>
      <c r="F13" s="4" t="s">
        <v>14</v>
      </c>
      <c r="G13" s="4" t="s">
        <v>12</v>
      </c>
      <c r="H13" s="4">
        <f t="shared" si="0"/>
        <v>0</v>
      </c>
      <c r="I13" s="4">
        <f t="shared" si="1"/>
        <v>1</v>
      </c>
      <c r="J13" s="4">
        <f t="shared" si="2"/>
        <v>1</v>
      </c>
      <c r="K13" s="4">
        <f t="shared" si="3"/>
        <v>0</v>
      </c>
      <c r="L13" s="4">
        <f t="shared" si="4"/>
        <v>0</v>
      </c>
    </row>
    <row r="14" spans="1:12" ht="20" customHeight="1" x14ac:dyDescent="0.15">
      <c r="A14" s="4">
        <v>9101</v>
      </c>
      <c r="B14" s="5" t="s">
        <v>57</v>
      </c>
      <c r="C14" s="4" t="s">
        <v>27</v>
      </c>
      <c r="D14" s="6">
        <v>7063.38</v>
      </c>
      <c r="E14" s="7">
        <v>45704.21875</v>
      </c>
      <c r="F14" s="4" t="s">
        <v>61</v>
      </c>
      <c r="G14" s="4" t="s">
        <v>24</v>
      </c>
      <c r="H14" s="4">
        <f t="shared" si="0"/>
        <v>0</v>
      </c>
      <c r="I14" s="4">
        <f t="shared" si="1"/>
        <v>1</v>
      </c>
      <c r="J14" s="4">
        <f t="shared" si="2"/>
        <v>0</v>
      </c>
      <c r="K14" s="4">
        <f t="shared" si="3"/>
        <v>0</v>
      </c>
      <c r="L14" s="4">
        <f t="shared" si="4"/>
        <v>0</v>
      </c>
    </row>
    <row r="15" spans="1:12" ht="20" customHeight="1" x14ac:dyDescent="0.15">
      <c r="A15" s="4">
        <v>9101</v>
      </c>
      <c r="B15" s="5" t="s">
        <v>58</v>
      </c>
      <c r="C15" s="4" t="s">
        <v>28</v>
      </c>
      <c r="D15" s="6">
        <v>11120.43</v>
      </c>
      <c r="E15" s="7">
        <v>45682.635416666664</v>
      </c>
      <c r="F15" s="4" t="s">
        <v>61</v>
      </c>
      <c r="G15" s="4" t="s">
        <v>29</v>
      </c>
      <c r="H15" s="4">
        <f t="shared" si="0"/>
        <v>0</v>
      </c>
      <c r="I15" s="4">
        <f t="shared" si="1"/>
        <v>0</v>
      </c>
      <c r="J15" s="4">
        <f t="shared" si="2"/>
        <v>1</v>
      </c>
      <c r="K15" s="4">
        <f t="shared" si="3"/>
        <v>0</v>
      </c>
      <c r="L15" s="4">
        <f t="shared" si="4"/>
        <v>1</v>
      </c>
    </row>
    <row r="16" spans="1:12" ht="20" customHeight="1" x14ac:dyDescent="0.15">
      <c r="A16" s="4">
        <v>1234</v>
      </c>
      <c r="B16" s="5" t="s">
        <v>59</v>
      </c>
      <c r="C16" s="4" t="s">
        <v>30</v>
      </c>
      <c r="D16" s="6">
        <v>51644.25</v>
      </c>
      <c r="E16" s="7">
        <v>45679.194444444445</v>
      </c>
      <c r="F16" s="4" t="s">
        <v>14</v>
      </c>
      <c r="G16" s="4" t="s">
        <v>9</v>
      </c>
      <c r="H16" s="4">
        <f t="shared" si="0"/>
        <v>1</v>
      </c>
      <c r="I16" s="4">
        <f t="shared" si="1"/>
        <v>0</v>
      </c>
      <c r="J16" s="4">
        <f t="shared" si="2"/>
        <v>1</v>
      </c>
      <c r="K16" s="4">
        <f t="shared" si="3"/>
        <v>0</v>
      </c>
      <c r="L16" s="4">
        <f t="shared" si="4"/>
        <v>1</v>
      </c>
    </row>
    <row r="17" spans="1:12" ht="20" customHeight="1" x14ac:dyDescent="0.15">
      <c r="A17" s="4">
        <v>1234</v>
      </c>
      <c r="B17" s="5" t="s">
        <v>60</v>
      </c>
      <c r="C17" s="4" t="s">
        <v>31</v>
      </c>
      <c r="D17" s="6">
        <v>3313.95</v>
      </c>
      <c r="E17" s="7">
        <v>45694.201597222222</v>
      </c>
      <c r="F17" s="4" t="s">
        <v>11</v>
      </c>
      <c r="G17" s="4" t="s">
        <v>24</v>
      </c>
      <c r="H17" s="4">
        <f t="shared" si="0"/>
        <v>0</v>
      </c>
      <c r="I17" s="4">
        <f t="shared" si="1"/>
        <v>0</v>
      </c>
      <c r="J17" s="4">
        <f t="shared" si="2"/>
        <v>0</v>
      </c>
      <c r="K17" s="4">
        <f t="shared" si="3"/>
        <v>0</v>
      </c>
      <c r="L17" s="4">
        <f t="shared" si="4"/>
        <v>0</v>
      </c>
    </row>
    <row r="18" spans="1:12" ht="20" customHeight="1" x14ac:dyDescent="0.15">
      <c r="A18" s="4">
        <v>9101</v>
      </c>
      <c r="B18" s="5" t="s">
        <v>60</v>
      </c>
      <c r="C18" s="4" t="s">
        <v>32</v>
      </c>
      <c r="D18" s="6">
        <v>1944.06</v>
      </c>
      <c r="E18" s="7">
        <v>45687.638888888891</v>
      </c>
      <c r="F18" s="4" t="s">
        <v>14</v>
      </c>
      <c r="G18" s="4" t="s">
        <v>29</v>
      </c>
      <c r="H18" s="4">
        <f t="shared" si="0"/>
        <v>0</v>
      </c>
      <c r="I18" s="4">
        <f t="shared" si="1"/>
        <v>0</v>
      </c>
      <c r="J18" s="4">
        <f t="shared" si="2"/>
        <v>1</v>
      </c>
      <c r="K18" s="4">
        <f t="shared" si="3"/>
        <v>0</v>
      </c>
      <c r="L18" s="4">
        <f t="shared" si="4"/>
        <v>0</v>
      </c>
    </row>
    <row r="19" spans="1:12" ht="20" customHeight="1" x14ac:dyDescent="0.15">
      <c r="A19" s="4">
        <v>1234</v>
      </c>
      <c r="B19" s="5" t="s">
        <v>60</v>
      </c>
      <c r="C19" s="4" t="s">
        <v>33</v>
      </c>
      <c r="D19" s="6">
        <v>2119.3200000000002</v>
      </c>
      <c r="E19" s="7">
        <v>45695.822916666664</v>
      </c>
      <c r="F19" s="4" t="s">
        <v>14</v>
      </c>
      <c r="G19" s="4" t="s">
        <v>18</v>
      </c>
      <c r="H19" s="4">
        <f t="shared" si="0"/>
        <v>0</v>
      </c>
      <c r="I19" s="4">
        <f t="shared" si="1"/>
        <v>1</v>
      </c>
      <c r="J19" s="4">
        <f t="shared" si="2"/>
        <v>0</v>
      </c>
      <c r="K19" s="4">
        <f t="shared" si="3"/>
        <v>0</v>
      </c>
      <c r="L19" s="4">
        <f t="shared" si="4"/>
        <v>0</v>
      </c>
    </row>
    <row r="20" spans="1:12" ht="20" customHeight="1" x14ac:dyDescent="0.15">
      <c r="A20" s="4">
        <v>3141</v>
      </c>
      <c r="B20" s="5" t="s">
        <v>60</v>
      </c>
      <c r="C20" s="4" t="s">
        <v>33</v>
      </c>
      <c r="D20" s="6">
        <v>14971.17</v>
      </c>
      <c r="E20" s="7">
        <v>45685.267361111109</v>
      </c>
      <c r="F20" s="4" t="s">
        <v>62</v>
      </c>
      <c r="G20" s="4" t="s">
        <v>15</v>
      </c>
      <c r="H20" s="4">
        <f t="shared" si="0"/>
        <v>0</v>
      </c>
      <c r="I20" s="4">
        <f t="shared" si="1"/>
        <v>1</v>
      </c>
      <c r="J20" s="4">
        <f t="shared" si="2"/>
        <v>1</v>
      </c>
      <c r="K20" s="4">
        <f t="shared" si="3"/>
        <v>0</v>
      </c>
      <c r="L20" s="4">
        <f t="shared" si="4"/>
        <v>0</v>
      </c>
    </row>
    <row r="21" spans="1:12" ht="20" customHeight="1" x14ac:dyDescent="0.15">
      <c r="A21" s="4">
        <v>1121</v>
      </c>
      <c r="B21" s="5" t="s">
        <v>60</v>
      </c>
      <c r="C21" s="4" t="s">
        <v>34</v>
      </c>
      <c r="D21" s="6">
        <v>2669.85</v>
      </c>
      <c r="E21" s="7">
        <v>45678.725694444445</v>
      </c>
      <c r="F21" s="4" t="s">
        <v>11</v>
      </c>
      <c r="G21" s="4" t="s">
        <v>35</v>
      </c>
      <c r="H21" s="4">
        <f t="shared" si="0"/>
        <v>0</v>
      </c>
      <c r="I21" s="4">
        <f t="shared" si="1"/>
        <v>0</v>
      </c>
      <c r="J21" s="4">
        <f t="shared" si="2"/>
        <v>0</v>
      </c>
      <c r="K21" s="4">
        <f t="shared" si="3"/>
        <v>0</v>
      </c>
      <c r="L21" s="4">
        <f t="shared" si="4"/>
        <v>0</v>
      </c>
    </row>
    <row r="22" spans="1:12" ht="20" customHeight="1" x14ac:dyDescent="0.15">
      <c r="A22" s="4">
        <v>1234</v>
      </c>
      <c r="B22" s="5" t="s">
        <v>60</v>
      </c>
      <c r="C22" s="4" t="s">
        <v>36</v>
      </c>
      <c r="D22" s="6">
        <v>3821.72</v>
      </c>
      <c r="E22" s="7">
        <v>45691.895833333336</v>
      </c>
      <c r="F22" s="4" t="s">
        <v>62</v>
      </c>
      <c r="G22" s="4" t="s">
        <v>26</v>
      </c>
      <c r="H22" s="4">
        <f t="shared" si="0"/>
        <v>0</v>
      </c>
      <c r="I22" s="4">
        <f t="shared" si="1"/>
        <v>0</v>
      </c>
      <c r="J22" s="4">
        <f t="shared" si="2"/>
        <v>1</v>
      </c>
      <c r="K22" s="4">
        <f t="shared" si="3"/>
        <v>0</v>
      </c>
      <c r="L22" s="4">
        <f t="shared" si="4"/>
        <v>1</v>
      </c>
    </row>
    <row r="23" spans="1:12" ht="20" customHeight="1" x14ac:dyDescent="0.15">
      <c r="A23" s="4">
        <v>5678</v>
      </c>
      <c r="B23" s="5" t="s">
        <v>60</v>
      </c>
      <c r="C23" s="4" t="s">
        <v>37</v>
      </c>
      <c r="D23" s="6">
        <v>71068.350000000006</v>
      </c>
      <c r="E23" s="7">
        <v>45692.138888888891</v>
      </c>
      <c r="F23" s="4" t="s">
        <v>61</v>
      </c>
      <c r="G23" s="4" t="s">
        <v>38</v>
      </c>
      <c r="H23" s="4">
        <f t="shared" si="0"/>
        <v>1</v>
      </c>
      <c r="I23" s="4">
        <f t="shared" si="1"/>
        <v>0</v>
      </c>
      <c r="J23" s="4">
        <f t="shared" si="2"/>
        <v>0</v>
      </c>
      <c r="K23" s="4">
        <f t="shared" si="3"/>
        <v>0</v>
      </c>
      <c r="L23" s="4">
        <f t="shared" si="4"/>
        <v>1</v>
      </c>
    </row>
    <row r="24" spans="1:12" ht="20" customHeight="1" x14ac:dyDescent="0.15">
      <c r="A24" s="4">
        <v>3141</v>
      </c>
      <c r="B24" s="5" t="s">
        <v>60</v>
      </c>
      <c r="C24" s="4" t="s">
        <v>39</v>
      </c>
      <c r="D24" s="6">
        <v>11678.13</v>
      </c>
      <c r="E24" s="7">
        <v>45707.184027777781</v>
      </c>
      <c r="F24" s="4" t="s">
        <v>14</v>
      </c>
      <c r="G24" s="4" t="s">
        <v>15</v>
      </c>
      <c r="H24" s="4">
        <f t="shared" si="0"/>
        <v>0</v>
      </c>
      <c r="I24" s="4">
        <f t="shared" si="1"/>
        <v>0</v>
      </c>
      <c r="J24" s="4">
        <f t="shared" si="2"/>
        <v>1</v>
      </c>
      <c r="K24" s="4">
        <f t="shared" si="3"/>
        <v>0</v>
      </c>
      <c r="L24" s="4">
        <f t="shared" si="4"/>
        <v>0</v>
      </c>
    </row>
    <row r="25" spans="1:12" ht="20" customHeight="1" x14ac:dyDescent="0.15">
      <c r="A25" s="4">
        <v>1234</v>
      </c>
      <c r="B25" s="5" t="s">
        <v>60</v>
      </c>
      <c r="C25" s="4" t="s">
        <v>40</v>
      </c>
      <c r="D25" s="6">
        <v>2629.2</v>
      </c>
      <c r="E25" s="7">
        <v>45680.611111111109</v>
      </c>
      <c r="F25" s="4" t="s">
        <v>14</v>
      </c>
      <c r="G25" s="4" t="s">
        <v>18</v>
      </c>
      <c r="H25" s="4">
        <f t="shared" si="0"/>
        <v>0</v>
      </c>
      <c r="I25" s="4">
        <f t="shared" si="1"/>
        <v>1</v>
      </c>
      <c r="J25" s="4">
        <f t="shared" si="2"/>
        <v>0</v>
      </c>
      <c r="K25" s="4">
        <f t="shared" si="3"/>
        <v>0</v>
      </c>
      <c r="L25" s="4">
        <f t="shared" si="4"/>
        <v>0</v>
      </c>
    </row>
    <row r="26" spans="1:12" ht="20" customHeight="1" x14ac:dyDescent="0.15">
      <c r="A26" s="4">
        <v>1121</v>
      </c>
      <c r="B26" s="5" t="s">
        <v>60</v>
      </c>
      <c r="C26" s="4" t="s">
        <v>40</v>
      </c>
      <c r="D26" s="6">
        <v>1511.04</v>
      </c>
      <c r="E26" s="7">
        <v>45691.909722222219</v>
      </c>
      <c r="F26" s="4" t="s">
        <v>61</v>
      </c>
      <c r="G26" s="4" t="s">
        <v>12</v>
      </c>
      <c r="H26" s="4">
        <f t="shared" si="0"/>
        <v>0</v>
      </c>
      <c r="I26" s="4">
        <f t="shared" si="1"/>
        <v>1</v>
      </c>
      <c r="J26" s="4">
        <f t="shared" si="2"/>
        <v>1</v>
      </c>
      <c r="K26" s="4">
        <f t="shared" si="3"/>
        <v>0</v>
      </c>
      <c r="L26" s="4">
        <f t="shared" si="4"/>
        <v>0</v>
      </c>
    </row>
    <row r="30" spans="1:12" ht="20" customHeight="1" x14ac:dyDescent="0.15">
      <c r="G30" s="2" t="s">
        <v>41</v>
      </c>
    </row>
    <row r="31" spans="1:12" ht="20" customHeight="1" x14ac:dyDescent="0.15">
      <c r="G31" s="4" t="s">
        <v>18</v>
      </c>
    </row>
    <row r="32" spans="1:12" ht="20" customHeight="1" x14ac:dyDescent="0.15">
      <c r="G32" s="4" t="s">
        <v>38</v>
      </c>
    </row>
    <row r="33" spans="7:7" ht="20" customHeight="1" x14ac:dyDescent="0.15">
      <c r="G33" s="4" t="s">
        <v>24</v>
      </c>
    </row>
    <row r="34" spans="7:7" ht="20" customHeight="1" x14ac:dyDescent="0.15">
      <c r="G34" s="4" t="s">
        <v>35</v>
      </c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EXERCISES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Gillio  Francesco Giuseppe</cp:lastModifiedBy>
  <dcterms:created xsi:type="dcterms:W3CDTF">2025-02-19T23:08:30Z</dcterms:created>
  <dcterms:modified xsi:type="dcterms:W3CDTF">2025-02-19T23:15:28Z</dcterms:modified>
</cp:coreProperties>
</file>