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francescogiuseppegillio/Desktop/"/>
    </mc:Choice>
  </mc:AlternateContent>
  <xr:revisionPtr revIDLastSave="0" documentId="13_ncr:1_{B7DBD7C4-4579-E14D-91A5-51EC0ABC2AD1}" xr6:coauthVersionLast="47" xr6:coauthVersionMax="47" xr10:uidLastSave="{00000000-0000-0000-0000-000000000000}"/>
  <bookViews>
    <workbookView xWindow="4520" yWindow="500" windowWidth="27560" windowHeight="17500" xr2:uid="{00000000-000D-0000-FFFF-FFFF00000000}"/>
  </bookViews>
  <sheets>
    <sheet name="EXERCISES" sheetId="2" r:id="rId1"/>
    <sheet name="SOLUTION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3" l="1"/>
  <c r="G4" i="3"/>
  <c r="B42" i="3" s="1"/>
  <c r="C42" i="3" s="1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" i="3"/>
  <c r="C38" i="3"/>
  <c r="B38" i="3"/>
  <c r="A38" i="3"/>
  <c r="E33" i="3"/>
  <c r="E32" i="3"/>
  <c r="E31" i="3"/>
  <c r="D33" i="3"/>
  <c r="D32" i="3"/>
  <c r="D31" i="3"/>
  <c r="C33" i="3"/>
  <c r="C32" i="3"/>
  <c r="C31" i="3"/>
  <c r="B33" i="3"/>
  <c r="B32" i="3"/>
  <c r="B31" i="3"/>
</calcChain>
</file>

<file path=xl/sharedStrings.xml><?xml version="1.0" encoding="utf-8"?>
<sst xmlns="http://schemas.openxmlformats.org/spreadsheetml/2006/main" count="253" uniqueCount="69">
  <si>
    <t>COGNOME</t>
  </si>
  <si>
    <t>NOME</t>
  </si>
  <si>
    <t>M/F</t>
  </si>
  <si>
    <t>TITOLO DI STUDIO</t>
  </si>
  <si>
    <t>AGENZIA</t>
  </si>
  <si>
    <t>SALDO C/C</t>
  </si>
  <si>
    <t>BANU</t>
  </si>
  <si>
    <t>LORENA ANA MARIA</t>
  </si>
  <si>
    <t>F</t>
  </si>
  <si>
    <t>DIPLOMA DI SCUOLA SECONDARIA DI SECONDO GRADO</t>
  </si>
  <si>
    <t>Banca Sella</t>
  </si>
  <si>
    <t>BLANC</t>
  </si>
  <si>
    <t>KRISTIAN</t>
  </si>
  <si>
    <t>LAUREA IN LEGGE</t>
  </si>
  <si>
    <t>Intesa San Paolo</t>
  </si>
  <si>
    <t>BOGGIO</t>
  </si>
  <si>
    <t>REBECCA</t>
  </si>
  <si>
    <t>LAUREA IN ECONOMIA</t>
  </si>
  <si>
    <t>UniCredit</t>
  </si>
  <si>
    <t>COMINETTO</t>
  </si>
  <si>
    <t>MARIA VITTORIA</t>
  </si>
  <si>
    <t>LAUREA IN SCIENZE MATEMATICHE E FISICA</t>
  </si>
  <si>
    <t>DI CRESCENZO</t>
  </si>
  <si>
    <t>EDOARDO</t>
  </si>
  <si>
    <t>FIORINO</t>
  </si>
  <si>
    <t>SARA</t>
  </si>
  <si>
    <t>LAUREA IN INGEGNERIA</t>
  </si>
  <si>
    <t>GAMBA</t>
  </si>
  <si>
    <t>FRANCESCO</t>
  </si>
  <si>
    <t>GRISORIO</t>
  </si>
  <si>
    <t>CHRISTIAN</t>
  </si>
  <si>
    <t>LUCIANO</t>
  </si>
  <si>
    <t>LUCIFORA</t>
  </si>
  <si>
    <t>RICCARDO</t>
  </si>
  <si>
    <t>LUPO</t>
  </si>
  <si>
    <t>MAZZUCATO</t>
  </si>
  <si>
    <t>ILARIA</t>
  </si>
  <si>
    <t>MERIGGI</t>
  </si>
  <si>
    <t>MARCO</t>
  </si>
  <si>
    <t>NESCI</t>
  </si>
  <si>
    <t>LAUREA IN LINGUE E LETTERATURE STRANIERE</t>
  </si>
  <si>
    <t>OLIVETTI</t>
  </si>
  <si>
    <t>MARIKA</t>
  </si>
  <si>
    <t>OLIVITO</t>
  </si>
  <si>
    <t>AURORA</t>
  </si>
  <si>
    <t>RAICU</t>
  </si>
  <si>
    <t>MARIA ELISA</t>
  </si>
  <si>
    <t>ROUSSAFI</t>
  </si>
  <si>
    <t>TASNIM</t>
  </si>
  <si>
    <t>SOJ</t>
  </si>
  <si>
    <t>LUCA</t>
  </si>
  <si>
    <t>TROTTO GATTA</t>
  </si>
  <si>
    <t>LAUREA IN GIURISPRUDENZA</t>
  </si>
  <si>
    <t>ZUCCA</t>
  </si>
  <si>
    <t>MARTINA</t>
  </si>
  <si>
    <t>NOMINATIVO</t>
  </si>
  <si>
    <t>M</t>
  </si>
  <si>
    <t>DATI PER AGENZIA</t>
  </si>
  <si>
    <t>TOTALE SALDI DEI C/C</t>
  </si>
  <si>
    <t>SALDO MEDIO</t>
  </si>
  <si>
    <t>MEDIA DEI SALDI POSITIVI</t>
  </si>
  <si>
    <t>MEDIA DEI SALDI NEGATIVI</t>
  </si>
  <si>
    <t>LAUREATI CON SALDO NEGATIVO</t>
  </si>
  <si>
    <t>LAUREATI UOMINI CON SALDO NEGATIVO</t>
  </si>
  <si>
    <t>LAUREATI DONNE CON SALDO NEGATIVO</t>
  </si>
  <si>
    <t>NOMINATIVO:</t>
  </si>
  <si>
    <t>SALDO:</t>
  </si>
  <si>
    <t>STATO:</t>
  </si>
  <si>
    <t>BANU LORENA ANA MARIA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</si>
</sst>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410]_-;\-* #,##0.00\ [$€-410]_-;_-* &quot;-&quot;??\ [$€-410]_-;_-@_-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164" fontId="0" fillId="3" borderId="1" xfId="0" applyNumberFormat="1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164" fontId="0" fillId="4" borderId="1" xfId="0" applyNumberFormat="1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164" fontId="0" fillId="5" borderId="1" xfId="0" applyNumberFormat="1" applyFill="1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0" fillId="0" borderId="0" xfId="0" applyFill="1" applyBorder="1" applyAlignment="1">
      <alignment horizontal="left" vertical="center"/>
    </xf>
    <xf numFmtId="164" fontId="2" fillId="2" borderId="1" xfId="0" applyNumberFormat="1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164" fontId="1" fillId="2" borderId="2" xfId="0" applyNumberFormat="1" applyFont="1" applyFill="1" applyBorder="1" applyAlignment="1">
      <alignment horizontal="left" vertic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29E4E-65BD-DC42-B5A8-981C35A56024}">
  <dimension ref="A1:G42"/>
  <sheetViews>
    <sheetView tabSelected="1" zoomScale="75" zoomScaleNormal="75" workbookViewId="0">
      <selection activeCell="H21" sqref="H21"/>
    </sheetView>
  </sheetViews>
  <sheetFormatPr baseColWidth="10" defaultColWidth="35.83203125" defaultRowHeight="20" customHeight="1" x14ac:dyDescent="0.2"/>
  <cols>
    <col min="1" max="5" width="35.83203125" style="1"/>
    <col min="6" max="6" width="35.83203125" style="2"/>
    <col min="7" max="7" width="35.83203125" style="14"/>
    <col min="8" max="16384" width="35.83203125" style="1"/>
  </cols>
  <sheetData>
    <row r="1" spans="1:7" ht="20" customHeight="1" x14ac:dyDescent="0.2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8" t="s">
        <v>5</v>
      </c>
      <c r="G1" s="17" t="s">
        <v>55</v>
      </c>
    </row>
    <row r="2" spans="1:7" ht="20" customHeight="1" x14ac:dyDescent="0.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2">
        <v>1731.46</v>
      </c>
      <c r="G2" s="15"/>
    </row>
    <row r="3" spans="1:7" ht="20" customHeight="1" x14ac:dyDescent="0.2">
      <c r="A3" s="1" t="s">
        <v>11</v>
      </c>
      <c r="B3" s="1" t="s">
        <v>12</v>
      </c>
      <c r="C3" s="1" t="s">
        <v>56</v>
      </c>
      <c r="D3" s="1" t="s">
        <v>13</v>
      </c>
      <c r="E3" s="1" t="s">
        <v>14</v>
      </c>
      <c r="F3" s="2">
        <v>-3919.15</v>
      </c>
      <c r="G3" s="15"/>
    </row>
    <row r="4" spans="1:7" ht="20" customHeight="1" x14ac:dyDescent="0.2">
      <c r="A4" s="1" t="s">
        <v>15</v>
      </c>
      <c r="B4" s="1" t="s">
        <v>16</v>
      </c>
      <c r="C4" s="1" t="s">
        <v>8</v>
      </c>
      <c r="D4" s="1" t="s">
        <v>17</v>
      </c>
      <c r="E4" s="1" t="s">
        <v>18</v>
      </c>
      <c r="F4" s="2">
        <v>3616.45</v>
      </c>
      <c r="G4" s="15"/>
    </row>
    <row r="5" spans="1:7" ht="20" customHeight="1" x14ac:dyDescent="0.2">
      <c r="A5" s="1" t="s">
        <v>19</v>
      </c>
      <c r="B5" s="1" t="s">
        <v>20</v>
      </c>
      <c r="C5" s="1" t="s">
        <v>8</v>
      </c>
      <c r="D5" s="1" t="s">
        <v>21</v>
      </c>
      <c r="E5" s="1" t="s">
        <v>18</v>
      </c>
      <c r="F5" s="2">
        <v>1556.52</v>
      </c>
      <c r="G5" s="15"/>
    </row>
    <row r="6" spans="1:7" ht="20" customHeight="1" x14ac:dyDescent="0.2">
      <c r="A6" s="1" t="s">
        <v>22</v>
      </c>
      <c r="B6" s="1" t="s">
        <v>23</v>
      </c>
      <c r="C6" s="1" t="s">
        <v>56</v>
      </c>
      <c r="D6" s="1" t="s">
        <v>13</v>
      </c>
      <c r="E6" s="1" t="s">
        <v>14</v>
      </c>
      <c r="F6" s="2">
        <v>6106.89</v>
      </c>
      <c r="G6" s="15"/>
    </row>
    <row r="7" spans="1:7" ht="20" customHeight="1" x14ac:dyDescent="0.2">
      <c r="A7" s="1" t="s">
        <v>24</v>
      </c>
      <c r="B7" s="1" t="s">
        <v>25</v>
      </c>
      <c r="C7" s="1" t="s">
        <v>8</v>
      </c>
      <c r="D7" s="1" t="s">
        <v>26</v>
      </c>
      <c r="E7" s="1" t="s">
        <v>18</v>
      </c>
      <c r="F7" s="2">
        <v>3057.02</v>
      </c>
      <c r="G7" s="15"/>
    </row>
    <row r="8" spans="1:7" ht="20" customHeight="1" x14ac:dyDescent="0.2">
      <c r="A8" s="1" t="s">
        <v>27</v>
      </c>
      <c r="B8" s="1" t="s">
        <v>28</v>
      </c>
      <c r="C8" s="1" t="s">
        <v>56</v>
      </c>
      <c r="D8" s="1" t="s">
        <v>21</v>
      </c>
      <c r="E8" s="1" t="s">
        <v>10</v>
      </c>
      <c r="F8" s="2">
        <v>9540.23</v>
      </c>
      <c r="G8" s="15"/>
    </row>
    <row r="9" spans="1:7" ht="20" customHeight="1" x14ac:dyDescent="0.2">
      <c r="A9" s="1" t="s">
        <v>29</v>
      </c>
      <c r="B9" s="1" t="s">
        <v>30</v>
      </c>
      <c r="C9" s="1" t="s">
        <v>56</v>
      </c>
      <c r="D9" s="1" t="s">
        <v>26</v>
      </c>
      <c r="E9" s="1" t="s">
        <v>14</v>
      </c>
      <c r="F9" s="2">
        <v>-3058.14</v>
      </c>
      <c r="G9" s="15"/>
    </row>
    <row r="10" spans="1:7" ht="20" customHeight="1" x14ac:dyDescent="0.2">
      <c r="A10" s="1" t="s">
        <v>31</v>
      </c>
      <c r="B10" s="1" t="s">
        <v>30</v>
      </c>
      <c r="C10" s="1" t="s">
        <v>56</v>
      </c>
      <c r="D10" s="1" t="s">
        <v>26</v>
      </c>
      <c r="E10" s="1" t="s">
        <v>14</v>
      </c>
      <c r="F10" s="2">
        <v>-19.940000000000001</v>
      </c>
      <c r="G10" s="15"/>
    </row>
    <row r="11" spans="1:7" ht="20" customHeight="1" x14ac:dyDescent="0.2">
      <c r="A11" s="1" t="s">
        <v>32</v>
      </c>
      <c r="B11" s="1" t="s">
        <v>33</v>
      </c>
      <c r="C11" s="1" t="s">
        <v>56</v>
      </c>
      <c r="D11" s="1" t="s">
        <v>13</v>
      </c>
      <c r="E11" s="1" t="s">
        <v>14</v>
      </c>
      <c r="F11" s="2">
        <v>-4516.6400000000003</v>
      </c>
      <c r="G11" s="15"/>
    </row>
    <row r="12" spans="1:7" ht="20" customHeight="1" x14ac:dyDescent="0.2">
      <c r="A12" s="1" t="s">
        <v>34</v>
      </c>
      <c r="B12" s="1" t="s">
        <v>33</v>
      </c>
      <c r="C12" s="1" t="s">
        <v>56</v>
      </c>
      <c r="D12" s="1" t="s">
        <v>21</v>
      </c>
      <c r="E12" s="1" t="s">
        <v>10</v>
      </c>
      <c r="F12" s="2">
        <v>9376.01</v>
      </c>
      <c r="G12" s="15"/>
    </row>
    <row r="13" spans="1:7" ht="20" customHeight="1" x14ac:dyDescent="0.2">
      <c r="A13" s="1" t="s">
        <v>35</v>
      </c>
      <c r="B13" s="1" t="s">
        <v>36</v>
      </c>
      <c r="C13" s="1" t="s">
        <v>8</v>
      </c>
      <c r="D13" s="1" t="s">
        <v>9</v>
      </c>
      <c r="E13" s="1" t="s">
        <v>18</v>
      </c>
      <c r="F13" s="2">
        <v>6453.54</v>
      </c>
      <c r="G13" s="15"/>
    </row>
    <row r="14" spans="1:7" ht="20" customHeight="1" x14ac:dyDescent="0.2">
      <c r="A14" s="1" t="s">
        <v>37</v>
      </c>
      <c r="B14" s="1" t="s">
        <v>38</v>
      </c>
      <c r="C14" s="1" t="s">
        <v>56</v>
      </c>
      <c r="D14" s="1" t="s">
        <v>21</v>
      </c>
      <c r="E14" s="1" t="s">
        <v>10</v>
      </c>
      <c r="F14" s="2">
        <v>3839.1</v>
      </c>
      <c r="G14" s="15"/>
    </row>
    <row r="15" spans="1:7" ht="20" customHeight="1" x14ac:dyDescent="0.2">
      <c r="A15" s="1" t="s">
        <v>39</v>
      </c>
      <c r="B15" s="1" t="s">
        <v>28</v>
      </c>
      <c r="C15" s="1" t="s">
        <v>56</v>
      </c>
      <c r="D15" s="1" t="s">
        <v>40</v>
      </c>
      <c r="E15" s="1" t="s">
        <v>10</v>
      </c>
      <c r="F15" s="2">
        <v>806.59</v>
      </c>
      <c r="G15" s="15"/>
    </row>
    <row r="16" spans="1:7" ht="20" customHeight="1" x14ac:dyDescent="0.2">
      <c r="A16" s="1" t="s">
        <v>41</v>
      </c>
      <c r="B16" s="1" t="s">
        <v>42</v>
      </c>
      <c r="C16" s="1" t="s">
        <v>8</v>
      </c>
      <c r="D16" s="1" t="s">
        <v>40</v>
      </c>
      <c r="E16" s="1" t="s">
        <v>14</v>
      </c>
      <c r="F16" s="2">
        <v>-3574.33</v>
      </c>
      <c r="G16" s="15"/>
    </row>
    <row r="17" spans="1:7" ht="20" customHeight="1" x14ac:dyDescent="0.2">
      <c r="A17" s="1" t="s">
        <v>43</v>
      </c>
      <c r="B17" s="1" t="s">
        <v>44</v>
      </c>
      <c r="C17" s="1" t="s">
        <v>8</v>
      </c>
      <c r="D17" s="1" t="s">
        <v>40</v>
      </c>
      <c r="E17" s="1" t="s">
        <v>14</v>
      </c>
      <c r="F17" s="2">
        <v>-2933.44</v>
      </c>
      <c r="G17" s="15"/>
    </row>
    <row r="18" spans="1:7" ht="20" customHeight="1" x14ac:dyDescent="0.2">
      <c r="A18" s="1" t="s">
        <v>45</v>
      </c>
      <c r="B18" s="1" t="s">
        <v>46</v>
      </c>
      <c r="C18" s="1" t="s">
        <v>8</v>
      </c>
      <c r="D18" s="1" t="s">
        <v>21</v>
      </c>
      <c r="E18" s="1" t="s">
        <v>10</v>
      </c>
      <c r="F18" s="2">
        <v>-4891.71</v>
      </c>
      <c r="G18" s="15"/>
    </row>
    <row r="19" spans="1:7" ht="20" customHeight="1" x14ac:dyDescent="0.2">
      <c r="A19" s="1" t="s">
        <v>47</v>
      </c>
      <c r="B19" s="1" t="s">
        <v>48</v>
      </c>
      <c r="C19" s="1" t="s">
        <v>8</v>
      </c>
      <c r="D19" s="1" t="s">
        <v>13</v>
      </c>
      <c r="E19" s="1" t="s">
        <v>18</v>
      </c>
      <c r="F19" s="2">
        <v>-2076.67</v>
      </c>
      <c r="G19" s="15"/>
    </row>
    <row r="20" spans="1:7" ht="20" customHeight="1" x14ac:dyDescent="0.2">
      <c r="A20" s="1" t="s">
        <v>49</v>
      </c>
      <c r="B20" s="1" t="s">
        <v>50</v>
      </c>
      <c r="C20" s="1" t="s">
        <v>56</v>
      </c>
      <c r="D20" s="1" t="s">
        <v>17</v>
      </c>
      <c r="E20" s="1" t="s">
        <v>10</v>
      </c>
      <c r="F20" s="2">
        <v>1685.9</v>
      </c>
      <c r="G20" s="15"/>
    </row>
    <row r="21" spans="1:7" ht="20" customHeight="1" x14ac:dyDescent="0.2">
      <c r="A21" s="1" t="s">
        <v>51</v>
      </c>
      <c r="B21" s="1" t="s">
        <v>28</v>
      </c>
      <c r="C21" s="1" t="s">
        <v>56</v>
      </c>
      <c r="D21" s="1" t="s">
        <v>52</v>
      </c>
      <c r="E21" s="1" t="s">
        <v>18</v>
      </c>
      <c r="F21" s="2">
        <v>-4356.7700000000004</v>
      </c>
      <c r="G21" s="15"/>
    </row>
    <row r="22" spans="1:7" ht="20" customHeight="1" x14ac:dyDescent="0.2">
      <c r="A22" s="1" t="s">
        <v>53</v>
      </c>
      <c r="B22" s="1" t="s">
        <v>54</v>
      </c>
      <c r="C22" s="1" t="s">
        <v>8</v>
      </c>
      <c r="D22" s="1" t="s">
        <v>21</v>
      </c>
      <c r="E22" s="1" t="s">
        <v>10</v>
      </c>
      <c r="F22" s="2">
        <v>4281.34</v>
      </c>
      <c r="G22" s="15"/>
    </row>
    <row r="23" spans="1:7" ht="20" customHeight="1" x14ac:dyDescent="0.2">
      <c r="G23" s="15"/>
    </row>
    <row r="24" spans="1:7" ht="20" customHeight="1" x14ac:dyDescent="0.2">
      <c r="G24" s="15"/>
    </row>
    <row r="25" spans="1:7" ht="20" customHeight="1" x14ac:dyDescent="0.2">
      <c r="G25" s="15"/>
    </row>
    <row r="26" spans="1:7" ht="20" customHeight="1" x14ac:dyDescent="0.2">
      <c r="G26" s="15"/>
    </row>
    <row r="30" spans="1:7" ht="20" customHeight="1" x14ac:dyDescent="0.2">
      <c r="A30" s="3" t="s">
        <v>57</v>
      </c>
      <c r="B30" s="3" t="s">
        <v>58</v>
      </c>
      <c r="C30" s="3" t="s">
        <v>59</v>
      </c>
      <c r="D30" s="3" t="s">
        <v>60</v>
      </c>
      <c r="E30" s="3" t="s">
        <v>61</v>
      </c>
    </row>
    <row r="31" spans="1:7" ht="20" customHeight="1" x14ac:dyDescent="0.2">
      <c r="A31" s="4" t="s">
        <v>10</v>
      </c>
      <c r="B31" s="5"/>
      <c r="C31" s="5"/>
      <c r="D31" s="5"/>
      <c r="E31" s="5"/>
    </row>
    <row r="32" spans="1:7" ht="20" customHeight="1" x14ac:dyDescent="0.2">
      <c r="A32" s="6" t="s">
        <v>14</v>
      </c>
      <c r="B32" s="7"/>
      <c r="C32" s="7"/>
      <c r="D32" s="7"/>
      <c r="E32" s="7"/>
    </row>
    <row r="33" spans="1:5" ht="20" customHeight="1" x14ac:dyDescent="0.2">
      <c r="A33" s="8" t="s">
        <v>18</v>
      </c>
      <c r="B33" s="9"/>
      <c r="C33" s="9"/>
      <c r="D33" s="9"/>
      <c r="E33" s="9"/>
    </row>
    <row r="37" spans="1:5" ht="20" customHeight="1" x14ac:dyDescent="0.2">
      <c r="A37" s="3" t="s">
        <v>62</v>
      </c>
      <c r="B37" s="3" t="s">
        <v>63</v>
      </c>
      <c r="C37" s="3" t="s">
        <v>64</v>
      </c>
    </row>
    <row r="38" spans="1:5" ht="20" customHeight="1" x14ac:dyDescent="0.2">
      <c r="A38" s="10"/>
      <c r="B38" s="10"/>
      <c r="C38" s="10"/>
    </row>
    <row r="41" spans="1:5" ht="20" customHeight="1" x14ac:dyDescent="0.2">
      <c r="A41" s="3" t="s">
        <v>65</v>
      </c>
      <c r="B41" s="3" t="s">
        <v>66</v>
      </c>
      <c r="C41" s="3" t="s">
        <v>67</v>
      </c>
    </row>
    <row r="42" spans="1:5" ht="20" customHeight="1" x14ac:dyDescent="0.2">
      <c r="A42" s="11"/>
      <c r="B42" s="12"/>
      <c r="C42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9FA78-C31E-9445-BD05-E3A8480858D4}">
  <dimension ref="A1:G42"/>
  <sheetViews>
    <sheetView zoomScale="75" zoomScaleNormal="64" workbookViewId="0">
      <selection activeCell="H13" sqref="H13"/>
    </sheetView>
  </sheetViews>
  <sheetFormatPr baseColWidth="10" defaultColWidth="35.83203125" defaultRowHeight="20" customHeight="1" x14ac:dyDescent="0.2"/>
  <cols>
    <col min="1" max="5" width="35.83203125" style="1"/>
    <col min="6" max="6" width="35.83203125" style="2"/>
    <col min="7" max="7" width="35.83203125" style="14"/>
    <col min="8" max="16384" width="35.83203125" style="1"/>
  </cols>
  <sheetData>
    <row r="1" spans="1:7" ht="20" customHeight="1" x14ac:dyDescent="0.2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8" t="s">
        <v>5</v>
      </c>
      <c r="G1" s="17" t="s">
        <v>55</v>
      </c>
    </row>
    <row r="2" spans="1:7" ht="20" customHeight="1" x14ac:dyDescent="0.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2">
        <v>1731.46</v>
      </c>
      <c r="G2" s="15" t="str">
        <f>_xlfn.CONCAT(A2," ",B2)</f>
        <v>BANU LORENA ANA MARIA</v>
      </c>
    </row>
    <row r="3" spans="1:7" ht="20" customHeight="1" x14ac:dyDescent="0.2">
      <c r="A3" s="1" t="s">
        <v>11</v>
      </c>
      <c r="B3" s="1" t="s">
        <v>12</v>
      </c>
      <c r="C3" s="1" t="s">
        <v>56</v>
      </c>
      <c r="D3" s="1" t="s">
        <v>13</v>
      </c>
      <c r="E3" s="1" t="s">
        <v>14</v>
      </c>
      <c r="F3" s="2">
        <v>-3919.15</v>
      </c>
      <c r="G3" s="15" t="str">
        <f t="shared" ref="G3:G22" si="0">_xlfn.CONCAT(A3," ",B3)</f>
        <v>BLANC KRISTIAN</v>
      </c>
    </row>
    <row r="4" spans="1:7" ht="20" customHeight="1" x14ac:dyDescent="0.2">
      <c r="A4" s="1" t="s">
        <v>15</v>
      </c>
      <c r="B4" s="1" t="s">
        <v>16</v>
      </c>
      <c r="C4" s="1" t="s">
        <v>8</v>
      </c>
      <c r="D4" s="1" t="s">
        <v>17</v>
      </c>
      <c r="E4" s="1" t="s">
        <v>18</v>
      </c>
      <c r="F4" s="2">
        <v>3616.45</v>
      </c>
      <c r="G4" s="15" t="str">
        <f t="shared" si="0"/>
        <v>BOGGIO REBECCA</v>
      </c>
    </row>
    <row r="5" spans="1:7" ht="20" customHeight="1" x14ac:dyDescent="0.2">
      <c r="A5" s="1" t="s">
        <v>19</v>
      </c>
      <c r="B5" s="1" t="s">
        <v>20</v>
      </c>
      <c r="C5" s="1" t="s">
        <v>8</v>
      </c>
      <c r="D5" s="1" t="s">
        <v>21</v>
      </c>
      <c r="E5" s="1" t="s">
        <v>18</v>
      </c>
      <c r="F5" s="2">
        <v>1556.52</v>
      </c>
      <c r="G5" s="15" t="str">
        <f t="shared" si="0"/>
        <v>COMINETTO MARIA VITTORIA</v>
      </c>
    </row>
    <row r="6" spans="1:7" ht="20" customHeight="1" x14ac:dyDescent="0.2">
      <c r="A6" s="1" t="s">
        <v>22</v>
      </c>
      <c r="B6" s="1" t="s">
        <v>23</v>
      </c>
      <c r="C6" s="1" t="s">
        <v>56</v>
      </c>
      <c r="D6" s="1" t="s">
        <v>13</v>
      </c>
      <c r="E6" s="1" t="s">
        <v>14</v>
      </c>
      <c r="F6" s="2">
        <v>6106.89</v>
      </c>
      <c r="G6" s="15" t="str">
        <f t="shared" si="0"/>
        <v>DI CRESCENZO EDOARDO</v>
      </c>
    </row>
    <row r="7" spans="1:7" ht="20" customHeight="1" x14ac:dyDescent="0.2">
      <c r="A7" s="1" t="s">
        <v>24</v>
      </c>
      <c r="B7" s="1" t="s">
        <v>25</v>
      </c>
      <c r="C7" s="1" t="s">
        <v>8</v>
      </c>
      <c r="D7" s="1" t="s">
        <v>26</v>
      </c>
      <c r="E7" s="1" t="s">
        <v>18</v>
      </c>
      <c r="F7" s="2">
        <v>3057.02</v>
      </c>
      <c r="G7" s="15" t="str">
        <f t="shared" si="0"/>
        <v>FIORINO SARA</v>
      </c>
    </row>
    <row r="8" spans="1:7" ht="20" customHeight="1" x14ac:dyDescent="0.2">
      <c r="A8" s="1" t="s">
        <v>27</v>
      </c>
      <c r="B8" s="1" t="s">
        <v>28</v>
      </c>
      <c r="C8" s="1" t="s">
        <v>56</v>
      </c>
      <c r="D8" s="1" t="s">
        <v>21</v>
      </c>
      <c r="E8" s="1" t="s">
        <v>10</v>
      </c>
      <c r="F8" s="2">
        <v>9540.23</v>
      </c>
      <c r="G8" s="15" t="str">
        <f t="shared" si="0"/>
        <v>GAMBA FRANCESCO</v>
      </c>
    </row>
    <row r="9" spans="1:7" ht="20" customHeight="1" x14ac:dyDescent="0.2">
      <c r="A9" s="1" t="s">
        <v>29</v>
      </c>
      <c r="B9" s="1" t="s">
        <v>30</v>
      </c>
      <c r="C9" s="1" t="s">
        <v>56</v>
      </c>
      <c r="D9" s="1" t="s">
        <v>26</v>
      </c>
      <c r="E9" s="1" t="s">
        <v>14</v>
      </c>
      <c r="F9" s="2">
        <v>-3058.14</v>
      </c>
      <c r="G9" s="15" t="str">
        <f t="shared" si="0"/>
        <v>GRISORIO CHRISTIAN</v>
      </c>
    </row>
    <row r="10" spans="1:7" ht="20" customHeight="1" x14ac:dyDescent="0.2">
      <c r="A10" s="1" t="s">
        <v>31</v>
      </c>
      <c r="B10" s="1" t="s">
        <v>30</v>
      </c>
      <c r="C10" s="1" t="s">
        <v>56</v>
      </c>
      <c r="D10" s="1" t="s">
        <v>26</v>
      </c>
      <c r="E10" s="1" t="s">
        <v>14</v>
      </c>
      <c r="F10" s="2">
        <v>-19.940000000000001</v>
      </c>
      <c r="G10" s="15" t="str">
        <f t="shared" si="0"/>
        <v>LUCIANO CHRISTIAN</v>
      </c>
    </row>
    <row r="11" spans="1:7" ht="20" customHeight="1" x14ac:dyDescent="0.2">
      <c r="A11" s="1" t="s">
        <v>32</v>
      </c>
      <c r="B11" s="1" t="s">
        <v>33</v>
      </c>
      <c r="C11" s="1" t="s">
        <v>56</v>
      </c>
      <c r="D11" s="1" t="s">
        <v>13</v>
      </c>
      <c r="E11" s="1" t="s">
        <v>14</v>
      </c>
      <c r="F11" s="2">
        <v>-4516.6400000000003</v>
      </c>
      <c r="G11" s="15" t="str">
        <f t="shared" si="0"/>
        <v>LUCIFORA RICCARDO</v>
      </c>
    </row>
    <row r="12" spans="1:7" ht="20" customHeight="1" x14ac:dyDescent="0.2">
      <c r="A12" s="1" t="s">
        <v>34</v>
      </c>
      <c r="B12" s="1" t="s">
        <v>33</v>
      </c>
      <c r="C12" s="1" t="s">
        <v>56</v>
      </c>
      <c r="D12" s="1" t="s">
        <v>21</v>
      </c>
      <c r="E12" s="1" t="s">
        <v>10</v>
      </c>
      <c r="F12" s="2">
        <v>9376.01</v>
      </c>
      <c r="G12" s="15" t="str">
        <f t="shared" si="0"/>
        <v>LUPO RICCARDO</v>
      </c>
    </row>
    <row r="13" spans="1:7" ht="20" customHeight="1" x14ac:dyDescent="0.2">
      <c r="A13" s="1" t="s">
        <v>35</v>
      </c>
      <c r="B13" s="1" t="s">
        <v>36</v>
      </c>
      <c r="C13" s="1" t="s">
        <v>8</v>
      </c>
      <c r="D13" s="1" t="s">
        <v>9</v>
      </c>
      <c r="E13" s="1" t="s">
        <v>18</v>
      </c>
      <c r="F13" s="2">
        <v>6453.54</v>
      </c>
      <c r="G13" s="15" t="str">
        <f t="shared" si="0"/>
        <v>MAZZUCATO ILARIA</v>
      </c>
    </row>
    <row r="14" spans="1:7" ht="20" customHeight="1" x14ac:dyDescent="0.2">
      <c r="A14" s="1" t="s">
        <v>37</v>
      </c>
      <c r="B14" s="1" t="s">
        <v>38</v>
      </c>
      <c r="C14" s="1" t="s">
        <v>56</v>
      </c>
      <c r="D14" s="1" t="s">
        <v>21</v>
      </c>
      <c r="E14" s="1" t="s">
        <v>10</v>
      </c>
      <c r="F14" s="2">
        <v>3839.1</v>
      </c>
      <c r="G14" s="15" t="str">
        <f t="shared" si="0"/>
        <v>MERIGGI MARCO</v>
      </c>
    </row>
    <row r="15" spans="1:7" ht="20" customHeight="1" x14ac:dyDescent="0.2">
      <c r="A15" s="1" t="s">
        <v>39</v>
      </c>
      <c r="B15" s="1" t="s">
        <v>28</v>
      </c>
      <c r="C15" s="1" t="s">
        <v>56</v>
      </c>
      <c r="D15" s="1" t="s">
        <v>40</v>
      </c>
      <c r="E15" s="1" t="s">
        <v>10</v>
      </c>
      <c r="F15" s="2">
        <v>806.59</v>
      </c>
      <c r="G15" s="15" t="str">
        <f t="shared" si="0"/>
        <v>NESCI FRANCESCO</v>
      </c>
    </row>
    <row r="16" spans="1:7" ht="20" customHeight="1" x14ac:dyDescent="0.2">
      <c r="A16" s="1" t="s">
        <v>41</v>
      </c>
      <c r="B16" s="1" t="s">
        <v>42</v>
      </c>
      <c r="C16" s="1" t="s">
        <v>8</v>
      </c>
      <c r="D16" s="1" t="s">
        <v>40</v>
      </c>
      <c r="E16" s="1" t="s">
        <v>14</v>
      </c>
      <c r="F16" s="2">
        <v>-3574.33</v>
      </c>
      <c r="G16" s="15" t="str">
        <f t="shared" si="0"/>
        <v>OLIVETTI MARIKA</v>
      </c>
    </row>
    <row r="17" spans="1:7" ht="20" customHeight="1" x14ac:dyDescent="0.2">
      <c r="A17" s="1" t="s">
        <v>43</v>
      </c>
      <c r="B17" s="1" t="s">
        <v>44</v>
      </c>
      <c r="C17" s="1" t="s">
        <v>8</v>
      </c>
      <c r="D17" s="1" t="s">
        <v>40</v>
      </c>
      <c r="E17" s="1" t="s">
        <v>14</v>
      </c>
      <c r="F17" s="2">
        <v>-2933.44</v>
      </c>
      <c r="G17" s="15" t="str">
        <f t="shared" si="0"/>
        <v>OLIVITO AURORA</v>
      </c>
    </row>
    <row r="18" spans="1:7" ht="20" customHeight="1" x14ac:dyDescent="0.2">
      <c r="A18" s="1" t="s">
        <v>45</v>
      </c>
      <c r="B18" s="1" t="s">
        <v>46</v>
      </c>
      <c r="C18" s="1" t="s">
        <v>8</v>
      </c>
      <c r="D18" s="1" t="s">
        <v>21</v>
      </c>
      <c r="E18" s="1" t="s">
        <v>10</v>
      </c>
      <c r="F18" s="2">
        <v>-4891.71</v>
      </c>
      <c r="G18" s="15" t="str">
        <f t="shared" si="0"/>
        <v>RAICU MARIA ELISA</v>
      </c>
    </row>
    <row r="19" spans="1:7" ht="20" customHeight="1" x14ac:dyDescent="0.2">
      <c r="A19" s="1" t="s">
        <v>47</v>
      </c>
      <c r="B19" s="1" t="s">
        <v>48</v>
      </c>
      <c r="C19" s="1" t="s">
        <v>8</v>
      </c>
      <c r="D19" s="1" t="s">
        <v>13</v>
      </c>
      <c r="E19" s="1" t="s">
        <v>18</v>
      </c>
      <c r="F19" s="2">
        <v>-2076.67</v>
      </c>
      <c r="G19" s="15" t="str">
        <f t="shared" si="0"/>
        <v>ROUSSAFI TASNIM</v>
      </c>
    </row>
    <row r="20" spans="1:7" ht="20" customHeight="1" x14ac:dyDescent="0.2">
      <c r="A20" s="1" t="s">
        <v>49</v>
      </c>
      <c r="B20" s="1" t="s">
        <v>50</v>
      </c>
      <c r="C20" s="1" t="s">
        <v>56</v>
      </c>
      <c r="D20" s="1" t="s">
        <v>17</v>
      </c>
      <c r="E20" s="1" t="s">
        <v>10</v>
      </c>
      <c r="F20" s="2">
        <v>1685.9</v>
      </c>
      <c r="G20" s="15" t="str">
        <f t="shared" si="0"/>
        <v>SOJ LUCA</v>
      </c>
    </row>
    <row r="21" spans="1:7" ht="20" customHeight="1" x14ac:dyDescent="0.2">
      <c r="A21" s="1" t="s">
        <v>51</v>
      </c>
      <c r="B21" s="1" t="s">
        <v>28</v>
      </c>
      <c r="C21" s="1" t="s">
        <v>56</v>
      </c>
      <c r="D21" s="1" t="s">
        <v>52</v>
      </c>
      <c r="E21" s="1" t="s">
        <v>18</v>
      </c>
      <c r="F21" s="2">
        <v>-4356.7700000000004</v>
      </c>
      <c r="G21" s="15" t="str">
        <f t="shared" si="0"/>
        <v>TROTTO GATTA FRANCESCO</v>
      </c>
    </row>
    <row r="22" spans="1:7" ht="20" customHeight="1" x14ac:dyDescent="0.2">
      <c r="A22" s="1" t="s">
        <v>53</v>
      </c>
      <c r="B22" s="1" t="s">
        <v>54</v>
      </c>
      <c r="C22" s="1" t="s">
        <v>8</v>
      </c>
      <c r="D22" s="1" t="s">
        <v>21</v>
      </c>
      <c r="E22" s="1" t="s">
        <v>10</v>
      </c>
      <c r="F22" s="2">
        <v>4281.34</v>
      </c>
      <c r="G22" s="15" t="str">
        <f t="shared" si="0"/>
        <v>ZUCCA MARTINA</v>
      </c>
    </row>
    <row r="23" spans="1:7" ht="20" customHeight="1" x14ac:dyDescent="0.2">
      <c r="G23" s="15"/>
    </row>
    <row r="24" spans="1:7" ht="20" customHeight="1" x14ac:dyDescent="0.2">
      <c r="G24" s="15"/>
    </row>
    <row r="25" spans="1:7" ht="20" customHeight="1" x14ac:dyDescent="0.2">
      <c r="G25" s="15"/>
    </row>
    <row r="26" spans="1:7" ht="20" customHeight="1" x14ac:dyDescent="0.2">
      <c r="G26" s="15"/>
    </row>
    <row r="30" spans="1:7" ht="20" customHeight="1" x14ac:dyDescent="0.2">
      <c r="A30" s="3" t="s">
        <v>57</v>
      </c>
      <c r="B30" s="16" t="s">
        <v>58</v>
      </c>
      <c r="C30" s="16" t="s">
        <v>59</v>
      </c>
      <c r="D30" s="16" t="s">
        <v>60</v>
      </c>
      <c r="E30" s="16" t="s">
        <v>61</v>
      </c>
    </row>
    <row r="31" spans="1:7" ht="20" customHeight="1" x14ac:dyDescent="0.2">
      <c r="A31" s="4" t="s">
        <v>10</v>
      </c>
      <c r="B31" s="5">
        <f>SUMIFS($F$2:$F$22,E$2:E$22,A31)</f>
        <v>26368.92</v>
      </c>
      <c r="C31" s="5">
        <f>AVERAGEIFS($F$2:$F$22,E$2:E$22,A31)</f>
        <v>3296.1149999999998</v>
      </c>
      <c r="D31" s="5">
        <f>AVERAGEIFS($F$2:$F$22,E$2:E$22,A31,$F$2:$F$22,"&gt;0")</f>
        <v>4465.8042857142855</v>
      </c>
      <c r="E31" s="5">
        <f>AVERAGEIFS($F$2:$F$22,E$2:E$22,A31,$F$2:$F$22,"&lt;0")</f>
        <v>-4891.71</v>
      </c>
    </row>
    <row r="32" spans="1:7" ht="20" customHeight="1" x14ac:dyDescent="0.2">
      <c r="A32" s="6" t="s">
        <v>14</v>
      </c>
      <c r="B32" s="7">
        <f>SUMIFS($F$2:$F$22,E$2:E$22,A32)</f>
        <v>-11914.75</v>
      </c>
      <c r="C32" s="7">
        <f>AVERAGEIFS($F$2:$F$22,E$2:E$22,A32)</f>
        <v>-1702.1071428571429</v>
      </c>
      <c r="D32" s="7">
        <f>AVERAGEIFS($F$2:$F$22,E$2:E$22,A32,$F$2:$F$22,"&gt;0")</f>
        <v>6106.89</v>
      </c>
      <c r="E32" s="7">
        <f>AVERAGEIFS($F$2:$F$22,E$2:E$22,A32,$F$2:$F$22,"&lt;0")</f>
        <v>-3003.6066666666666</v>
      </c>
    </row>
    <row r="33" spans="1:5" ht="20" customHeight="1" x14ac:dyDescent="0.2">
      <c r="A33" s="8" t="s">
        <v>18</v>
      </c>
      <c r="B33" s="9">
        <f>SUMIFS($F$2:$F$22,E$2:E$22,A33)</f>
        <v>8250.0899999999983</v>
      </c>
      <c r="C33" s="9">
        <f>AVERAGEIFS($F$2:$F$22,E$2:E$22,A33)</f>
        <v>1375.0149999999996</v>
      </c>
      <c r="D33" s="9">
        <f>AVERAGEIFS($F$2:$F$22,E$2:E$22,A33,$F$2:$F$22,"&gt;0")</f>
        <v>3670.8824999999997</v>
      </c>
      <c r="E33" s="9">
        <f>AVERAGEIFS($F$2:$F$22,E$2:E$22,A33,$F$2:$F$22,"&lt;0")</f>
        <v>-3216.7200000000003</v>
      </c>
    </row>
    <row r="35" spans="1:5" ht="20" customHeight="1" x14ac:dyDescent="0.2">
      <c r="A35" s="13"/>
      <c r="B35" s="13"/>
      <c r="C35" s="13"/>
    </row>
    <row r="37" spans="1:5" ht="20" customHeight="1" x14ac:dyDescent="0.2">
      <c r="A37" s="3" t="s">
        <v>62</v>
      </c>
      <c r="B37" s="3" t="s">
        <v>63</v>
      </c>
      <c r="C37" s="3" t="s">
        <v>64</v>
      </c>
    </row>
    <row r="38" spans="1:5" ht="20" customHeight="1" x14ac:dyDescent="0.2">
      <c r="A38" s="10">
        <f>COUNTIFS($D$2:$D$22,"LAUREA*",$F$2:$F$22,"&lt;0")</f>
        <v>9</v>
      </c>
      <c r="B38" s="10">
        <f>COUNTIFS($D$2:$D$22,"LAUREA*",$C$2:$C$22,"M",$F$2:$F$22,"&lt;0")</f>
        <v>5</v>
      </c>
      <c r="C38" s="10">
        <f>COUNTIFS($D$2:$D$22,"LAUREA*",$C$2:$C$22,"F",$F$2:$F$22,"&lt;0")</f>
        <v>4</v>
      </c>
    </row>
    <row r="41" spans="1:5" ht="20" customHeight="1" x14ac:dyDescent="0.2">
      <c r="A41" s="3" t="s">
        <v>65</v>
      </c>
      <c r="B41" s="16" t="s">
        <v>66</v>
      </c>
      <c r="C41" s="16" t="s">
        <v>67</v>
      </c>
    </row>
    <row r="42" spans="1:5" ht="20" customHeight="1" x14ac:dyDescent="0.2">
      <c r="A42" s="11" t="s">
        <v>68</v>
      </c>
      <c r="B42" s="12">
        <f>_xlfn.XLOOKUP(A42,$G2:$G26,$F$2:$F$26)</f>
        <v>1731.46</v>
      </c>
      <c r="C42" s="12" t="str">
        <f>IF(B42&lt;0,"NEGATIVO",IF(B42&gt;0,"POSITIVO","NULLO"))</f>
        <v>POSITIVO</v>
      </c>
      <c r="D4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EXERCISES</vt:lpstr>
      <vt:lpstr>SOLUTIONS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Gillio  Francesco Giuseppe</cp:lastModifiedBy>
  <dcterms:created xsi:type="dcterms:W3CDTF">2025-02-12T14:23:54Z</dcterms:created>
  <dcterms:modified xsi:type="dcterms:W3CDTF">2025-02-12T14:45:55Z</dcterms:modified>
</cp:coreProperties>
</file>